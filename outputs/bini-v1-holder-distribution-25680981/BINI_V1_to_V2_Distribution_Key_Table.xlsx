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2b4eedb60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775d0c8d0d954261"/>
    <x:sheet xmlns:r="http://schemas.openxmlformats.org/officeDocument/2006/relationships" name="Candidates" sheetId="2" r:id="Ra1e8b2f0f12342e3"/>
    <x:sheet xmlns:r="http://schemas.openxmlformats.org/officeDocument/2006/relationships" name="Draft Batches" sheetId="3" r:id="Rb1b71afd0edf44eb"/>
    <x:sheet xmlns:r="http://schemas.openxmlformats.org/officeDocument/2006/relationships" name="Exceptions" sheetId="4" r:id="R5903cd01d53140fb"/>
    <x:sheet xmlns:r="http://schemas.openxmlformats.org/officeDocument/2006/relationships" name="Threshold Scenarios" sheetId="5" r:id="R2bef6c9f96ae4b0e"/>
    <x:sheet xmlns:r="http://schemas.openxmlformats.org/officeDocument/2006/relationships" name="QC" sheetId="6" r:id="R85aee5c9f1294aec"/>
  </x:sheets>
</x:workbook>
</file>

<file path=xl/comments1.xml><?xml version="1.0" encoding="utf-8"?>
<x:comments xmlns:x="http://schemas.openxmlformats.org/spreadsheetml/2006/main">
  <x:authors>
    <x:author>tc={DDE1887D-098E-0E65-22BB-2F06FE97A8E2}</x:author>
    <x:author>tc={A9FA34A8-97FA-9B71-2F33-2422E21AD1E1}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Pinned Ethereum block. Block hash: 0x962176abacf23d24fbbaacfb7d1e28570685ccbfd7f90a061af97b2fde77af78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Draft-only threshold inferred from the user-supplied table ending at 1,000 BINI. Owner approval is required.</x:t>
        </x:r>
      </x:text>
    </x:comment>
  </x:commentList>
</x:comments>
</file>

<file path=xl/comments2.xml><?xml version="1.0" encoding="utf-8"?>
<x:comments xmlns:x="http://schemas.openxmlformats.org/spreadsheetml/2006/main">
  <x:authors>
    <x:author>tc={30E45F7A-E408-7F9D-E70A-8231C90975B3}</x:author>
    <x:author>tc={E8768070-D0BB-BEE3-F58E-4019A7B23D35}</x:author>
  </x:authors>
  <x:commentList>
    <x:comment ref="H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Authoritative uint256 V1 raw amount from balanceOf at the pinned block. Stored as text to avoid Excel precision loss.</x:t>
        </x:r>
      </x:text>
    </x:comment>
    <x:comment ref="U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Etherscan supplies labels/address discovery only; balances come from pinned-block RPC calls and reconcile exactly to total supply.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00000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554"/>
      <x:name val="Carlito"/>
    </x:font>
    <x:font>
      <x:b/>
      <x:sz val="11"/>
      <x:color rgb="FFB45309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2554"/>
      <x:name val="Aptos"/>
    </x:font>
    <x:font>
      <x:b/>
      <x:sz val="11"/>
      <x:color rgb="FFFFFFFF"/>
      <x:name val="Aptos"/>
    </x:font>
    <x:font>
      <x:sz val="11"/>
      <x:color rgb="FF1D4ED8"/>
      <x:name val="Aptos"/>
    </x:font>
    <x:font>
      <x:b/>
      <x:sz val="11"/>
      <x:color rgb="FFB45309"/>
      <x:name val="Aptos"/>
    </x:font>
    <x:font>
      <x:i/>
      <x:sz val="11"/>
      <x:color rgb="FF475569"/>
      <x:name val="Carlito"/>
    </x:font>
    <x:font>
      <x:b/>
      <x:sz val="11"/>
      <x:color rgb="FFB91C1C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0E7490"/>
      </x:patternFill>
    </x:fill>
    <x:fill>
      <x:patternFill patternType="solid">
        <x:fgColor rgb="FFECFEFF"/>
      </x:patternFill>
    </x:fill>
    <x:fill>
      <x:patternFill patternType="solid">
        <x:fgColor rgb="FFB91C1C"/>
      </x:patternFill>
    </x:fill>
    <x:fill>
      <x:patternFill patternType="solid">
        <x:fgColor rgb="FFFFFBEB"/>
      </x:patternFill>
    </x:fill>
    <x:fill>
      <x:patternFill patternType="solid">
        <x:fgColor rgb="FF1D4ED8"/>
      </x:patternFill>
    </x:fill>
    <x:fill>
      <x:patternFill patternType="solid">
        <x:fgColor rgb="FFFEE2E2"/>
      </x:patternFill>
    </x:fill>
  </x:fills>
  <x:borders count="14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2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4" fillId="5" borderId="2" xfId="0" applyNumberFormat="1" applyFont="1" applyFill="1" applyBorder="1"/>
    <x:xf numFmtId="202" fontId="2" fillId="6" borderId="2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4" fillId="5" borderId="6" xfId="0" applyNumberFormat="1" applyFont="1" applyFill="1" applyBorder="1"/>
    <x:xf numFmtId="202" fontId="2" fillId="6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2" fillId="3" borderId="5" xfId="0" applyNumberFormat="1" applyFont="1" applyFill="1" applyBorder="1"/>
    <x:xf numFmtId="201" fontId="3" fillId="4" borderId="6" xfId="0" applyNumberFormat="1" applyFont="1" applyFill="1" applyBorder="1"/>
    <x:xf numFmtId="0" fontId="2" fillId="3" borderId="8" xfId="0" applyNumberFormat="1" applyFont="1" applyFill="1" applyBorder="1"/>
    <x:xf numFmtId="201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200" fontId="5" fillId="0" borderId="6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3" xfId="0" applyNumberFormat="1" applyFont="1" applyFill="1" applyBorder="1"/>
    <x:xf numFmtId="200" fontId="7" fillId="0" borderId="2" xfId="0" applyNumberFormat="1" applyFont="1" applyFill="1" applyBorder="1"/>
    <x:xf numFmtId="0" fontId="7" fillId="0" borderId="2" xfId="0" applyNumberFormat="1" applyFont="1" applyFill="1" applyBorder="1"/>
    <x:xf numFmtId="0" fontId="9" fillId="5" borderId="2" xfId="0" applyNumberFormat="1" applyFont="1" applyFill="1" applyBorder="1"/>
    <x:xf numFmtId="202" fontId="8" fillId="6" borderId="2" xfId="0" applyNumberFormat="1" applyFont="1" applyFill="1" applyBorder="1"/>
    <x:xf numFmtId="0" fontId="7" fillId="0" borderId="4" xfId="0" applyNumberFormat="1" applyFont="1" applyFill="1" applyBorder="1"/>
    <x:xf numFmtId="0" fontId="8" fillId="0" borderId="5" xfId="0" applyNumberFormat="1" applyFont="1" applyFill="1" applyBorder="1"/>
    <x:xf numFmtId="200" fontId="7" fillId="0" borderId="6" xfId="0" applyNumberFormat="1" applyFont="1" applyFill="1" applyBorder="1"/>
    <x:xf numFmtId="0" fontId="7" fillId="0" borderId="6" xfId="0" applyNumberFormat="1" applyFont="1" applyFill="1" applyBorder="1"/>
    <x:xf numFmtId="0" fontId="9" fillId="5" borderId="6" xfId="0" applyNumberFormat="1" applyFont="1" applyFill="1" applyBorder="1"/>
    <x:xf numFmtId="202" fontId="8" fillId="6" borderId="6" xfId="0" applyNumberFormat="1" applyFont="1" applyFill="1" applyBorder="1"/>
    <x:xf numFmtId="0" fontId="7" fillId="0" borderId="7" xfId="0" applyNumberFormat="1" applyFont="1" applyFill="1" applyBorder="1"/>
    <x:xf numFmtId="200" fontId="10" fillId="0" borderId="6" xfId="0" applyNumberFormat="1" applyFont="1" applyFill="1" applyBorder="1"/>
    <x:xf numFmtId="0" fontId="7" fillId="0" borderId="5" xfId="0" applyNumberFormat="1" applyFont="1" applyFill="1" applyBorder="1"/>
    <x:xf numFmtId="0" fontId="8" fillId="3" borderId="5" xfId="0" applyNumberFormat="1" applyFont="1" applyFill="1" applyBorder="1"/>
    <x:xf numFmtId="201" fontId="11" fillId="4" borderId="6" xfId="0" applyNumberFormat="1" applyFont="1" applyFill="1" applyBorder="1"/>
    <x:xf numFmtId="0" fontId="8" fillId="3" borderId="8" xfId="0" applyNumberFormat="1" applyFont="1" applyFill="1" applyBorder="1"/>
    <x:xf numFmtId="201" fontId="11" fillId="4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9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7" xfId="0" applyNumberFormat="1" applyFont="1" applyFill="1" applyBorder="1"/>
    <x:xf numFmtId="0" fontId="4" fillId="9" borderId="10" xfId="0" applyNumberFormat="1" applyFont="1" applyFill="1" applyBorder="1"/>
    <x:xf numFmtId="0" fontId="4" fillId="9" borderId="5" xfId="0" applyNumberFormat="1" applyFont="1" applyFill="1" applyBorder="1"/>
    <x:xf numFmtId="0" fontId="4" fillId="9" borderId="7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vertical="center" wrapText="1"/>
    </x:xf>
    <x:xf numFmtId="0" fontId="4" fillId="9" borderId="10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13" xfId="0" applyNumberFormat="1" applyFont="1" applyFill="1" applyBorder="1"/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2" fontId="3" fillId="4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1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d229ea2c342ae" /><Relationship Type="http://schemas.openxmlformats.org/officeDocument/2006/relationships/theme" Target="/xl/theme/theme1.xml" Id="Rc5589cf9373941d9" /><Relationship Type="http://schemas.microsoft.com/office/2022/11/relationships/FeaturePropertyBag" Target="/xl/featurePropertyBag/featurePropertyBag.xml" Id="Rf1ff576bc7c2434d" /><Relationship Type="http://schemas.openxmlformats.org/officeDocument/2006/relationships/sharedStrings" Target="/xl/sharedStrings.xml" Id="R68953d51601f4f3a" /><Relationship Type="http://schemas.openxmlformats.org/officeDocument/2006/relationships/worksheet" Target="/xl/worksheets/sheet1.xml" Id="R775d0c8d0d954261" /><Relationship Type="http://schemas.openxmlformats.org/officeDocument/2006/relationships/worksheet" Target="/xl/worksheets/sheet2.xml" Id="Ra1e8b2f0f12342e3" /><Relationship Type="http://schemas.openxmlformats.org/officeDocument/2006/relationships/worksheet" Target="/xl/worksheets/sheet3.xml" Id="Rb1b71afd0edf44eb" /><Relationship Type="http://schemas.openxmlformats.org/officeDocument/2006/relationships/worksheet" Target="/xl/worksheets/sheet4.xml" Id="R5903cd01d53140fb" /><Relationship Type="http://schemas.openxmlformats.org/officeDocument/2006/relationships/worksheet" Target="/xl/worksheets/sheet5.xml" Id="R2bef6c9f96ae4b0e" /><Relationship Type="http://schemas.openxmlformats.org/officeDocument/2006/relationships/worksheet" Target="/xl/worksheets/sheet6.xml" Id="R85aee5c9f1294aec" /><Relationship Type="http://schemas.microsoft.com/office/2017/10/relationships/person" Target="/xl/persons/person.xml" Id="R5f6d64eb78d44c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Yuragus" id="{34BB0B11-E600-490A-80F1-EB82A359E84A}"/>
</xltc:personList>
</file>

<file path=xl/tables/table1.xml><?xml version="1.0" encoding="utf-8"?>
<x:table xmlns:x="http://schemas.openxmlformats.org/spreadsheetml/2006/main" id="1" name="CandidatesTable" displayName="CandidatesTable" ref="A5:V502" headerRowCount="1" totalsRowCount="0" totalsRowShown="0">
  <x:tableColumns count="22">
    <x:tableColumn id="1" name="Rank"/>
    <x:tableColumn id="2" name="Holder ID"/>
    <x:tableColumn id="3" name="Legacy V1 Address"/>
    <x:tableColumn id="4" name="Etherscan Label"/>
    <x:tableColumn id="5" name="Holder Type"/>
    <x:tableColumn id="6" name="Contract?"/>
    <x:tableColumn id="7" name="Code Bytes"/>
    <x:tableColumn id="8" name="V1 Raw (12d)"/>
    <x:tableColumn id="9" name="V1 Amount"/>
    <x:tableColumn id="10" name="V2 Raw (18d)"/>
    <x:tableColumn id="11" name="V2 Amount"/>
    <x:tableColumn id="12" name="Proposed Disposition"/>
    <x:tableColumn id="13" name="Draft Eligible"/>
    <x:tableColumn id="14" name="Draft Status"/>
    <x:tableColumn id="15" name="Destination"/>
    <x:tableColumn id="16" name="Batch"/>
    <x:tableColumn id="17" name="Index"/>
    <x:tableColumn id="18" name="Owner Decision"/>
    <x:tableColumn id="19" name="Decision Reference"/>
    <x:tableColumn id="20" name="Reason"/>
    <x:tableColumn id="21" name="Source URL"/>
    <x:tableColumn id="22" name="Duplicate Address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aftBatchesTable" displayName="DraftBatchesTable" ref="A4:H30" headerRowCount="1" totalsRowCount="0" totalsRowShown="0">
  <x:tableColumns count="8">
    <x:tableColumn id="1" name="Batch"/>
    <x:tableColumn id="2" name="Index"/>
    <x:tableColumn id="3" name="V1 Rank"/>
    <x:tableColumn id="4" name="Destination"/>
    <x:tableColumn id="5" name="V1 Amount"/>
    <x:tableColumn id="6" name="V2 Amount"/>
    <x:tableColumn id="7" name="V2 Raw"/>
    <x:tableColumn id="8" name="Owner Decisi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eptionsTable" displayName="ExceptionsTable" ref="A4:J21" headerRowCount="1" totalsRowCount="0" totalsRowShown="0">
  <x:tableColumns count="10">
    <x:tableColumn id="1" name="Rank"/>
    <x:tableColumn id="2" name="Address"/>
    <x:tableColumn id="3" name="Label"/>
    <x:tableColumn id="4" name="Holder Type"/>
    <x:tableColumn id="5" name="V1 Amount"/>
    <x:tableColumn id="6" name="V2 Amount"/>
    <x:tableColumn id="7" name="Disposition"/>
    <x:tableColumn id="8" name="Owner Decision"/>
    <x:tableColumn id="9" name="Decision Reference"/>
    <x:tableColumn id="10" name="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ThresholdScenariosTable" displayName="ThresholdScenariosTable" ref="A3:F8" headerRowCount="1" totalsRowCount="0" totalsRowShown="0">
  <x:tableColumns count="6">
    <x:tableColumn id="1" name="Minimum V1 BINI"/>
    <x:tableColumn id="2" name="Recipients"/>
    <x:tableColumn id="3" name="V1 Amount"/>
    <x:tableColumn id="4" name="V2 Amount"/>
    <x:tableColumn id="5" name="Batches @20"/>
    <x:tableColumn id="6" name="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04T10:58:08.305" personId="{34BB0B11-E600-490A-80F1-EB82A359E84A}" id="{DDE1887D-098E-0E65-22BB-2F06FE97A8E2}">
    <xltc:text>Pinned Ethereum block. Block hash: 0x962176abacf23d24fbbaacfb7d1e28570685ccbfd7f90a061af97b2fde77af78</xltc:text>
  </xltc:threadedComment>
  <xltc:threadedComment ref="B11" dT="2026-08-04T10:58:08.318" personId="{34BB0B11-E600-490A-80F1-EB82A359E84A}" id="{A9FA34A8-97FA-9B71-2F33-2422E21AD1E1}">
    <xltc:text>Draft-only threshold inferred from the user-supplied table ending at 1,000 BINI. Owner approval is required.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H5" dT="2026-08-04T10:58:10.474" personId="{34BB0B11-E600-490A-80F1-EB82A359E84A}" id="{30E45F7A-E408-7F9D-E70A-8231C90975B3}">
    <xltc:text>Authoritative uint256 V1 raw amount from balanceOf at the pinned block. Stored as text to avoid Excel precision loss.</xltc:text>
  </xltc:threadedComment>
  <xltc:threadedComment ref="U5" dT="2026-08-04T10:58:10.474" personId="{34BB0B11-E600-490A-80F1-EB82A359E84A}" id="{E8768070-D0BB-BEE3-F58E-4019A7B23D35}">
    <xltc:text>Etherscan supplies labels/address discovery only; balances come from pinned-block RPC calls and reconcile exactly to total supply.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6321f53a2654cb8" /><Relationship Type="http://schemas.openxmlformats.org/officeDocument/2006/relationships/vmlDrawing" Target="/xl/drawings/vmldrawing.vml" Id="Rfc50df25ba334d07" /><Relationship Type="http://schemas.microsoft.com/office/2017/10/relationships/threadedComment" Target="/xl/threadedcomments/threadedcomment.xml" Id="R62e4dd3e7ec24d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ff18ca4dc604a40" /><Relationship Type="http://schemas.openxmlformats.org/officeDocument/2006/relationships/vmlDrawing" Target="/xl/drawings/vmldrawing2.vml" Id="R309caa6ab27a4b61" /><Relationship Type="http://schemas.microsoft.com/office/2017/10/relationships/threadedComment" Target="/xl/threadedcomments/threadedcomment2.xml" Id="Racf4c580fe6e43ca" /><Relationship Type="http://schemas.openxmlformats.org/officeDocument/2006/relationships/table" Target="/xl/tables/table1.xml" Id="Rdd5bd8da9e8d41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99fb45671f41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e444d4427d43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965ebc236543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8" hidden="0" customWidth="1"/>
    <x:col min="3" max="3" width="3" hidden="0" customWidth="1"/>
    <x:col min="4" max="4" width="27" hidden="0" customWidth="1"/>
    <x:col min="5" max="5" width="23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5" t="str">
        <x:v>BINI V1 → V2 Direct Distribution — Owner Decision Table</x:v>
      </x:c>
      <x:c r="B1" s="45"/>
      <x:c r="C1" s="45"/>
      <x:c r="D1" s="45"/>
      <x:c r="E1" s="45"/>
      <x:c r="F1" s="45"/>
      <x:c r="G1" s="45"/>
      <x:c r="H1" s="45"/>
    </x:row>
    <x:row r="2">
      <x:c r="A2" s="46"/>
      <x:c r="B2" s="46"/>
      <x:c r="C2" s="46"/>
      <x:c r="D2" s="46"/>
      <x:c r="E2" s="46"/>
      <x:c r="F2" s="46"/>
      <x:c r="G2" s="46"/>
      <x:c r="H2" s="46"/>
    </x:row>
    <x:row r="3">
      <x:c r="A3" s="47" t="str">
        <x:v>Status</x:v>
      </x:c>
      <x:c r="B3" s="48" t="str">
        <x:v>OWNER_REVIEW_DRAFT_NOT_EXECUTABLE</x:v>
      </x:c>
      <x:c r="C3" s="49"/>
      <x:c r="D3" s="50" t="str">
        <x:v>Draft recipients</x:v>
      </x:c>
      <x:c r="E3" s="51" t="n">
        <x:f>COUNTIF('Candidates'!$N$6:$N$502,"DRAFT INCLUDE")</x:f>
        <x:v>26</x:v>
      </x:c>
      <x:c r="F3" s="49"/>
      <x:c r="G3" s="49"/>
      <x:c r="H3" s="52"/>
    </x:row>
    <x:row r="4">
      <x:c r="A4" s="53" t="str">
        <x:v>V1 token</x:v>
      </x:c>
      <x:c r="B4" s="54" t="str">
        <x:v>0x445d03f499f1c150615957bb87588fb465fc91cc</x:v>
      </x:c>
      <x:c r="C4" s="55"/>
      <x:c r="D4" s="56" t="str">
        <x:v>Draft V1 amount</x:v>
      </x:c>
      <x:c r="E4" s="57" t="n">
        <x:f>SUMIF('Candidates'!$N$6:$N$502,"DRAFT INCLUDE",'Candidates'!$I$6:$I$502)</x:f>
        <x:v>10770323.813620009</x:v>
      </x:c>
      <x:c r="F4" s="55"/>
      <x:c r="G4" s="55"/>
      <x:c r="H4" s="58"/>
    </x:row>
    <x:row r="5">
      <x:c r="A5" s="53" t="str">
        <x:v>Snapshot block</x:v>
      </x:c>
      <x:c r="B5" s="54" t="n">
        <x:v>25680981</x:v>
      </x:c>
      <x:c r="C5" s="55"/>
      <x:c r="D5" s="56" t="str">
        <x:v>Draft V2 amount</x:v>
      </x:c>
      <x:c r="E5" s="57" t="n">
        <x:f>SUMIF('Candidates'!$N$6:$N$502,"DRAFT INCLUDE",'Candidates'!$K$6:$K$502)</x:f>
        <x:v>10770323.813620009</x:v>
      </x:c>
      <x:c r="F5" s="55"/>
      <x:c r="G5" s="55"/>
      <x:c r="H5" s="58"/>
    </x:row>
    <x:row r="6">
      <x:c r="A6" s="53" t="str">
        <x:v>Snapshot block hash</x:v>
      </x:c>
      <x:c r="B6" s="54" t="str">
        <x:v>0x962176abacf23d24fbbaacfb7d1e28570685ccbfd7f90a061af97b2fde77af78</x:v>
      </x:c>
      <x:c r="C6" s="55"/>
      <x:c r="D6" s="56" t="str">
        <x:v>Draft batch count</x:v>
      </x:c>
      <x:c r="E6" s="57" t="n">
        <x:f>ROUNDUP(E3/$B$12,0)</x:f>
        <x:v>2</x:v>
      </x:c>
      <x:c r="F6" s="55"/>
      <x:c r="G6" s="55"/>
      <x:c r="H6" s="58"/>
    </x:row>
    <x:row r="7">
      <x:c r="A7" s="53" t="str">
        <x:v>Snapshot timestamp UTC</x:v>
      </x:c>
      <x:c r="B7" s="54" t="n">
        <x:v>46238.440405092595</x:v>
      </x:c>
      <x:c r="C7" s="55"/>
      <x:c r="D7" s="56" t="str">
        <x:v>Held / excluded rows</x:v>
      </x:c>
      <x:c r="E7" s="57" t="n">
        <x:f>B8-E3</x:f>
        <x:v>471</x:v>
      </x:c>
      <x:c r="F7" s="55"/>
      <x:c r="G7" s="55"/>
      <x:c r="H7" s="58"/>
    </x:row>
    <x:row r="8">
      <x:c r="A8" s="53" t="str">
        <x:v>Snapshot holders</x:v>
      </x:c>
      <x:c r="B8" s="54" t="n">
        <x:f>COUNTA('Candidates'!$A$6:$A$502)</x:f>
        <x:v>497</x:v>
      </x:c>
      <x:c r="C8" s="55"/>
      <x:c r="D8" s="56" t="str">
        <x:v>Top-5 unresolved V1</x:v>
      </x:c>
      <x:c r="E8" s="57" t="n">
        <x:f>SUMIF('Candidates'!$E$6:$E$502,"TOP5_OWNER_CLASSIFICATION_REQUIRED",'Candidates'!$I$6:$I$502)</x:f>
        <x:v>988424252.0099943</x:v>
      </x:c>
      <x:c r="F8" s="55"/>
      <x:c r="G8" s="55"/>
      <x:c r="H8" s="58"/>
    </x:row>
    <x:row r="9">
      <x:c r="A9" s="53" t="str">
        <x:v>Source</x:v>
      </x:c>
      <x:c r="B9" s="59" t="str">
        <x:v>https://etherscan.io/token/0x445d03f499f1c150615957bb87588fb465fc91cc#balances</x:v>
      </x:c>
      <x:c r="C9" s="55"/>
      <x:c r="D9" s="56" t="str">
        <x:v>All EOA candidates V1</x:v>
      </x:c>
      <x:c r="E9" s="57" t="n">
        <x:f>SUMIF('Candidates'!$E$6:$E$502,"EOA_CANDIDATE",'Candidates'!$I$6:$I$502)</x:f>
        <x:v>10778070.305310614</x:v>
      </x:c>
      <x:c r="F9" s="55"/>
      <x:c r="G9" s="55"/>
      <x:c r="H9" s="58"/>
    </x:row>
    <x:row r="10">
      <x:c r="A10" s="60"/>
      <x:c r="B10" s="55"/>
      <x:c r="C10" s="55"/>
      <x:c r="D10" s="55"/>
      <x:c r="E10" s="55"/>
      <x:c r="F10" s="55"/>
      <x:c r="G10" s="55"/>
      <x:c r="H10" s="58"/>
    </x:row>
    <x:row r="11">
      <x:c r="A11" s="61" t="str">
        <x:v>Draft minimum V1 BINI</x:v>
      </x:c>
      <x:c r="B11" s="62" t="n">
        <x:v>1000</x:v>
      </x:c>
      <x:c r="C11" s="55"/>
      <x:c r="D11" s="55"/>
      <x:c r="E11" s="55"/>
      <x:c r="F11" s="55"/>
      <x:c r="G11" s="55"/>
      <x:c r="H11" s="58"/>
    </x:row>
    <x:row r="12">
      <x:c r="A12" s="63" t="str">
        <x:v>Maximum recipients per batch</x:v>
      </x:c>
      <x:c r="B12" s="64" t="n">
        <x:v>20</x:v>
      </x:c>
      <x:c r="C12" s="65"/>
      <x:c r="D12" s="65"/>
      <x:c r="E12" s="65"/>
      <x:c r="F12" s="65"/>
      <x:c r="G12" s="65"/>
      <x:c r="H12" s="66"/>
    </x:row>
    <x:row r="13">
      <x:c r="A13" s="46"/>
      <x:c r="B13" s="46"/>
      <x:c r="C13" s="46"/>
      <x:c r="D13" s="46"/>
      <x:c r="E13" s="46"/>
      <x:c r="F13" s="46"/>
      <x:c r="G13" s="46"/>
      <x:c r="H13" s="46"/>
    </x:row>
    <x:row r="14">
      <x:c r="A14" s="67" t="str">
        <x:v>OWNER GATES — no Safe proposal may be generated from this workbook</x:v>
      </x:c>
      <x:c r="B14" s="67"/>
      <x:c r="C14" s="67"/>
      <x:c r="D14" s="67"/>
      <x:c r="E14" s="67"/>
      <x:c r="F14" s="67"/>
      <x:c r="G14" s="67"/>
      <x:c r="H14" s="67"/>
    </x:row>
    <x:row r="15" ht="34" customHeight="1">
      <x:c r="A15" s="68" t="str">
        <x:v>1</x:v>
      </x:c>
      <x:c r="B15" s="69" t="str">
        <x:v>Classify the top-five wallets and map them to treasury/tokenomics or genuine holder eligibility.</x:v>
      </x:c>
      <x:c r="C15" s="69"/>
      <x:c r="D15" s="69"/>
      <x:c r="E15" s="69"/>
      <x:c r="F15" s="69"/>
      <x:c r="G15" s="69"/>
      <x:c r="H15" s="69"/>
    </x:row>
    <x:row r="16" ht="34" customHeight="1">
      <x:c r="A16" s="68" t="str">
        <x:v>2</x:v>
      </x:c>
      <x:c r="B16" s="69" t="str">
        <x:v>Approve or change the draft ≥1,000 BINI eligibility threshold; below-threshold balances total 7,746.491691 BINI across 454 ordinary EOAs.</x:v>
      </x:c>
      <x:c r="C16" s="69"/>
      <x:c r="D16" s="69"/>
      <x:c r="E16" s="69"/>
      <x:c r="F16" s="69"/>
      <x:c r="G16" s="69"/>
      <x:c r="H16" s="69"/>
    </x:row>
    <x:row r="17" ht="34" customHeight="1">
      <x:c r="A17" s="68" t="str">
        <x:v>3</x:v>
      </x:c>
      <x:c r="B17" s="69" t="str">
        <x:v>Approve treatment for PoolManager, exchange deposit addresses, smart contracts and EIP-7702 delegated accounts.</x:v>
      </x:c>
      <x:c r="C17" s="69"/>
      <x:c r="D17" s="69"/>
      <x:c r="E17" s="69"/>
      <x:c r="F17" s="69"/>
      <x:c r="G17" s="69"/>
      <x:c r="H17" s="69"/>
    </x:row>
    <x:row r="18" ht="34" customHeight="1">
      <x:c r="A18" s="68" t="str">
        <x:v>4</x:v>
      </x:c>
      <x:c r="B18" s="69" t="str">
        <x:v>Approve V1 deprecation/frozen eligibility and prevent double exposure.</x:v>
      </x:c>
      <x:c r="C18" s="69"/>
      <x:c r="D18" s="69"/>
      <x:c r="E18" s="69"/>
      <x:c r="F18" s="69"/>
      <x:c r="G18" s="69"/>
      <x:c r="H18" s="69"/>
    </x:row>
    <x:row r="19" ht="34" customHeight="1">
      <x:c r="A19" s="68" t="str">
        <x:v>5</x:v>
      </x:c>
      <x:c r="B19" s="69" t="str">
        <x:v>Select SOURCE_ALLOCATION_ID and matching existing V2 allocation Safe.</x:v>
      </x:c>
      <x:c r="C19" s="69"/>
      <x:c r="D19" s="69"/>
      <x:c r="E19" s="69"/>
      <x:c r="F19" s="69"/>
      <x:c r="G19" s="69"/>
      <x:c r="H19" s="69"/>
    </x:row>
  </x:sheetData>
  <x:mergeCells>
    <x:mergeCell ref="A1:H1"/>
    <x:mergeCell ref="A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  <x:legacyDrawing xmlns:r="http://schemas.openxmlformats.org/officeDocument/2006/relationships" r:id="Rfc50df25ba334d0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44" hidden="0" customWidth="1"/>
    <x:col min="4" max="4" width="31" hidden="0" customWidth="1"/>
    <x:col min="5" max="5" width="34" hidden="0" customWidth="1"/>
    <x:col min="6" max="6" width="11" hidden="0" customWidth="1"/>
    <x:col min="7" max="7" width="11" hidden="0" customWidth="1"/>
    <x:col min="8" max="8" width="25" hidden="0" customWidth="1"/>
    <x:col min="9" max="9" width="18" hidden="0" customWidth="1"/>
    <x:col min="10" max="10" width="31" hidden="0" customWidth="1"/>
    <x:col min="11" max="11" width="18" hidden="0" customWidth="1"/>
    <x:col min="12" max="12" width="34" hidden="0" customWidth="1"/>
    <x:col min="13" max="13" width="14" hidden="0" customWidth="1"/>
    <x:col min="14" max="14" width="18" hidden="0" customWidth="1"/>
    <x:col min="15" max="15" width="44" hidden="0" customWidth="1"/>
    <x:col min="16" max="16" width="9" hidden="0" customWidth="1"/>
    <x:col min="17" max="17" width="9" hidden="0" customWidth="1"/>
    <x:col min="18" max="18" width="20" hidden="0" customWidth="1"/>
    <x:col min="19" max="19" width="24" hidden="0" customWidth="1"/>
    <x:col min="20" max="20" width="58" hidden="0" customWidth="1"/>
    <x:col min="21" max="21" width="42" hidden="0" customWidth="1"/>
    <x:col min="22" max="22" width="15" hidden="0" customWidth="1"/>
  </x:cols>
  <x:sheetData>
    <x:row r="1" ht="34" customHeight="1">
      <x:c r="A1" s="3" t="str">
        <x:v>Complete V1 Holder Snapshot — 497 Addresses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71" t="str">
        <x:v>Pinned block 25680981; exact raw balances reconcile to 1,000,000,000 V1 BINI. Green rows are draft candidates only, not approved recipients.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</x:row>
    <x:row r="5" ht="32" customHeight="1">
      <x:c r="A5" s="80" t="str">
        <x:v>Rank</x:v>
      </x:c>
      <x:c r="B5" s="81" t="str">
        <x:v>Holder ID</x:v>
      </x:c>
      <x:c r="C5" s="81" t="str">
        <x:v>Legacy V1 Address</x:v>
      </x:c>
      <x:c r="D5" s="81" t="str">
        <x:v>Etherscan Label</x:v>
      </x:c>
      <x:c r="E5" s="81" t="str">
        <x:v>Holder Type</x:v>
      </x:c>
      <x:c r="F5" s="81" t="str">
        <x:v>Contract?</x:v>
      </x:c>
      <x:c r="G5" s="81" t="str">
        <x:v>Code Bytes</x:v>
      </x:c>
      <x:c r="H5" s="81" t="str">
        <x:v>V1 Raw (12d)</x:v>
      </x:c>
      <x:c r="I5" s="81" t="str">
        <x:v>V1 Amount</x:v>
      </x:c>
      <x:c r="J5" s="81" t="str">
        <x:v>V2 Raw (18d)</x:v>
      </x:c>
      <x:c r="K5" s="81" t="str">
        <x:v>V2 Amount</x:v>
      </x:c>
      <x:c r="L5" s="81" t="str">
        <x:v>Proposed Disposition</x:v>
      </x:c>
      <x:c r="M5" s="81" t="str">
        <x:v>Draft Eligible</x:v>
      </x:c>
      <x:c r="N5" s="81" t="str">
        <x:v>Draft Status</x:v>
      </x:c>
      <x:c r="O5" s="81" t="str">
        <x:v>Destination</x:v>
      </x:c>
      <x:c r="P5" s="81" t="str">
        <x:v>Batch</x:v>
      </x:c>
      <x:c r="Q5" s="81" t="str">
        <x:v>Index</x:v>
      </x:c>
      <x:c r="R5" s="81" t="str">
        <x:v>Owner Decision</x:v>
      </x:c>
      <x:c r="S5" s="81" t="str">
        <x:v>Decision Reference</x:v>
      </x:c>
      <x:c r="T5" s="81" t="str">
        <x:v>Reason</x:v>
      </x:c>
      <x:c r="U5" s="81" t="str">
        <x:v>Source URL</x:v>
      </x:c>
      <x:c r="V5" s="82" t="str">
        <x:v>Duplicate Address?</x:v>
      </x:c>
    </x:row>
    <x:row r="6">
      <x:c r="A6" s="85" t="n">
        <x:v>1</x:v>
      </x:c>
      <x:c r="B6" s="85" t="str">
        <x:v>v1-mainnet-0001</x:v>
      </x:c>
      <x:c r="C6" s="86" t="str">
        <x:v>0x876146f9e8863ba09a7eff0d8209e708a3fee802</x:v>
      </x:c>
      <x:c r="D6" s="97" t="str"/>
      <x:c r="E6" s="97" t="str">
        <x:v>TOP5_OWNER_CLASSIFICATION_REQUIRED</x:v>
      </x:c>
      <x:c r="F6" s="87" t="b">
        <x:v>0</x:v>
      </x:c>
      <x:c r="G6" s="85" t="n">
        <x:v>0</x:v>
      </x:c>
      <x:c r="H6" s="86" t="str">
        <x:v>883718640903163448882</x:v>
      </x:c>
      <x:c r="I6" s="88" t="n">
        <x:v>883718640.9031634</x:v>
      </x:c>
      <x:c r="J6" s="88" t="str">
        <x:v>883718640903163448882000000</x:v>
      </x:c>
      <x:c r="K6" s="88" t="n">
        <x:v>883718640.9031634</x:v>
      </x:c>
      <x:c r="L6" s="97" t="str">
        <x:v>HOLD_OWNER_DECISION_REQUIRED</x:v>
      </x:c>
      <x:c r="M6" s="97" t="b">
        <x:f>IF(E6="EOA_CANDIDATE",I6&gt;='Decision Summary'!$B$11,FALSE)</x:f>
        <x:v>0</x:v>
      </x:c>
      <x:c r="N6" s="97" t="str">
        <x:f>IF(M6,"DRAFT INCLUDE","HOLD / EXCLUDE")</x:f>
        <x:v>HOLD / EXCLUDE</x:v>
      </x:c>
      <x:c r="O6" s="100" t="str">
        <x:f>IF(M6,C6,"")</x:f>
      </x:c>
      <x:c r="P6" s="97" t="str">
        <x:f>IF(N6="DRAFT INCLUDE",ROUNDUP(COUNTIF($N$6:N6,"DRAFT INCLUDE")/'Decision Summary'!$B$12,0),"")</x:f>
      </x:c>
      <x:c r="Q6" s="97" t="str">
        <x:f>IF(N6="DRAFT INCLUDE",MOD(COUNTIF($N$6:N6,"DRAFT INCLUDE")-1,'Decision Summary'!$B$12)+1,"")</x:f>
      </x:c>
      <x:c r="R6" s="97" t="str">
        <x:v>PENDING</x:v>
      </x:c>
      <x:c r="S6" s="97" t="str"/>
      <x:c r="T6" s="97" t="str">
        <x:v>Top-five balances represent 98.84% of V1 supply and cannot be treated as ordinary holder payouts without wallet ownership/tokenomics mapping.</x:v>
      </x:c>
      <x:c r="U6" s="85" t="str">
        <x:v>https://etherscan.io/token/0x445d03f499f1c150615957bb87588fb465fc91cc#balances</x:v>
      </x:c>
      <x:c r="V6" s="85" t="b">
        <x:f>COUNTIF($C$6:$C$502,C6)&gt;1</x:f>
        <x:v>0</x:v>
      </x:c>
    </x:row>
    <x:row r="7">
      <x:c r="A7" s="89" t="n">
        <x:v>2</x:v>
      </x:c>
      <x:c r="B7" s="89" t="str">
        <x:v>v1-mainnet-0002</x:v>
      </x:c>
      <x:c r="C7" s="90" t="str">
        <x:v>0x6be007b1befd60624a55b901095dc2f4218a6211</x:v>
      </x:c>
      <x:c r="D7" s="98" t="str"/>
      <x:c r="E7" s="98" t="str">
        <x:v>TOP5_OWNER_CLASSIFICATION_REQUIRED</x:v>
      </x:c>
      <x:c r="F7" s="91" t="b">
        <x:v>0</x:v>
      </x:c>
      <x:c r="G7" s="89" t="n">
        <x:v>0</x:v>
      </x:c>
      <x:c r="H7" s="90" t="str">
        <x:v>56753033525215692135</x:v>
      </x:c>
      <x:c r="I7" s="92" t="n">
        <x:v>56753033.52521569</x:v>
      </x:c>
      <x:c r="J7" s="92" t="str">
        <x:v>56753033525215692135000000</x:v>
      </x:c>
      <x:c r="K7" s="92" t="n">
        <x:v>56753033.52521569</x:v>
      </x:c>
      <x:c r="L7" s="98" t="str">
        <x:v>HOLD_OWNER_DECISION_REQUIRED</x:v>
      </x:c>
      <x:c r="M7" s="98" t="b">
        <x:f>IF(E7="EOA_CANDIDATE",I7&gt;='Decision Summary'!$B$11,FALSE)</x:f>
        <x:v>0</x:v>
      </x:c>
      <x:c r="N7" s="98" t="str">
        <x:f>IF(M7,"DRAFT INCLUDE","HOLD / EXCLUDE")</x:f>
        <x:v>HOLD / EXCLUDE</x:v>
      </x:c>
      <x:c r="O7" s="101" t="str">
        <x:f>IF(M7,C7,"")</x:f>
      </x:c>
      <x:c r="P7" s="98" t="str">
        <x:f>IF(N7="DRAFT INCLUDE",ROUNDUP(COUNTIF($N$6:N7,"DRAFT INCLUDE")/'Decision Summary'!$B$12,0),"")</x:f>
      </x:c>
      <x:c r="Q7" s="98" t="str">
        <x:f>IF(N7="DRAFT INCLUDE",MOD(COUNTIF($N$6:N7,"DRAFT INCLUDE")-1,'Decision Summary'!$B$12)+1,"")</x:f>
      </x:c>
      <x:c r="R7" s="98" t="str">
        <x:v>PENDING</x:v>
      </x:c>
      <x:c r="S7" s="98" t="str"/>
      <x:c r="T7" s="98" t="str">
        <x:v>Top-five balances represent 98.84% of V1 supply and cannot be treated as ordinary holder payouts without wallet ownership/tokenomics mapping.</x:v>
      </x:c>
      <x:c r="U7" s="89" t="str">
        <x:v>https://etherscan.io/token/0x445d03f499f1c150615957bb87588fb465fc91cc#balances</x:v>
      </x:c>
      <x:c r="V7" s="89" t="b">
        <x:f>COUNTIF($C$6:$C$502,C7)&gt;1</x:f>
        <x:v>0</x:v>
      </x:c>
    </x:row>
    <x:row r="8">
      <x:c r="A8" s="89" t="n">
        <x:v>3</x:v>
      </x:c>
      <x:c r="B8" s="89" t="str">
        <x:v>v1-mainnet-0003</x:v>
      </x:c>
      <x:c r="C8" s="90" t="str">
        <x:v>0x37c441d73308f0778f73664a6ee1be96c43745ab</x:v>
      </x:c>
      <x:c r="D8" s="98" t="str"/>
      <x:c r="E8" s="98" t="str">
        <x:v>TOP5_OWNER_CLASSIFICATION_REQUIRED</x:v>
      </x:c>
      <x:c r="F8" s="91" t="b">
        <x:v>0</x:v>
      </x:c>
      <x:c r="G8" s="89" t="n">
        <x:v>0</x:v>
      </x:c>
      <x:c r="H8" s="90" t="str">
        <x:v>19948969216406505657</x:v>
      </x:c>
      <x:c r="I8" s="92" t="n">
        <x:v>19948969.216406506</x:v>
      </x:c>
      <x:c r="J8" s="92" t="str">
        <x:v>19948969216406505657000000</x:v>
      </x:c>
      <x:c r="K8" s="92" t="n">
        <x:v>19948969.216406506</x:v>
      </x:c>
      <x:c r="L8" s="98" t="str">
        <x:v>HOLD_OWNER_DECISION_REQUIRED</x:v>
      </x:c>
      <x:c r="M8" s="98" t="b">
        <x:f>IF(E8="EOA_CANDIDATE",I8&gt;='Decision Summary'!$B$11,FALSE)</x:f>
        <x:v>0</x:v>
      </x:c>
      <x:c r="N8" s="98" t="str">
        <x:f>IF(M8,"DRAFT INCLUDE","HOLD / EXCLUDE")</x:f>
        <x:v>HOLD / EXCLUDE</x:v>
      </x:c>
      <x:c r="O8" s="101" t="str">
        <x:f>IF(M8,C8,"")</x:f>
      </x:c>
      <x:c r="P8" s="98" t="str">
        <x:f>IF(N8="DRAFT INCLUDE",ROUNDUP(COUNTIF($N$6:N8,"DRAFT INCLUDE")/'Decision Summary'!$B$12,0),"")</x:f>
      </x:c>
      <x:c r="Q8" s="98" t="str">
        <x:f>IF(N8="DRAFT INCLUDE",MOD(COUNTIF($N$6:N8,"DRAFT INCLUDE")-1,'Decision Summary'!$B$12)+1,"")</x:f>
      </x:c>
      <x:c r="R8" s="98" t="str">
        <x:v>PENDING</x:v>
      </x:c>
      <x:c r="S8" s="98" t="str"/>
      <x:c r="T8" s="98" t="str">
        <x:v>Top-five balances represent 98.84% of V1 supply and cannot be treated as ordinary holder payouts without wallet ownership/tokenomics mapping.</x:v>
      </x:c>
      <x:c r="U8" s="89" t="str">
        <x:v>https://etherscan.io/token/0x445d03f499f1c150615957bb87588fb465fc91cc#balances</x:v>
      </x:c>
      <x:c r="V8" s="89" t="b">
        <x:f>COUNTIF($C$6:$C$502,C8)&gt;1</x:f>
        <x:v>0</x:v>
      </x:c>
    </x:row>
    <x:row r="9">
      <x:c r="A9" s="89" t="n">
        <x:v>4</x:v>
      </x:c>
      <x:c r="B9" s="89" t="str">
        <x:v>v1-mainnet-0004</x:v>
      </x:c>
      <x:c r="C9" s="90" t="str">
        <x:v>0xe32cfba7afd85c04d7c608c98e429cc6a000858a</x:v>
      </x:c>
      <x:c r="D9" s="98" t="str"/>
      <x:c r="E9" s="98" t="str">
        <x:v>TOP5_OWNER_CLASSIFICATION_REQUIRED</x:v>
      </x:c>
      <x:c r="F9" s="91" t="b">
        <x:v>0</x:v>
      </x:c>
      <x:c r="G9" s="89" t="n">
        <x:v>0</x:v>
      </x:c>
      <x:c r="H9" s="90" t="str">
        <x:v>18003608365208677308</x:v>
      </x:c>
      <x:c r="I9" s="92" t="n">
        <x:v>18003608.365208678</x:v>
      </x:c>
      <x:c r="J9" s="92" t="str">
        <x:v>18003608365208677308000000</x:v>
      </x:c>
      <x:c r="K9" s="92" t="n">
        <x:v>18003608.365208678</x:v>
      </x:c>
      <x:c r="L9" s="98" t="str">
        <x:v>HOLD_OWNER_DECISION_REQUIRED</x:v>
      </x:c>
      <x:c r="M9" s="98" t="b">
        <x:f>IF(E9="EOA_CANDIDATE",I9&gt;='Decision Summary'!$B$11,FALSE)</x:f>
        <x:v>0</x:v>
      </x:c>
      <x:c r="N9" s="98" t="str">
        <x:f>IF(M9,"DRAFT INCLUDE","HOLD / EXCLUDE")</x:f>
        <x:v>HOLD / EXCLUDE</x:v>
      </x:c>
      <x:c r="O9" s="101" t="str">
        <x:f>IF(M9,C9,"")</x:f>
      </x:c>
      <x:c r="P9" s="98" t="str">
        <x:f>IF(N9="DRAFT INCLUDE",ROUNDUP(COUNTIF($N$6:N9,"DRAFT INCLUDE")/'Decision Summary'!$B$12,0),"")</x:f>
      </x:c>
      <x:c r="Q9" s="98" t="str">
        <x:f>IF(N9="DRAFT INCLUDE",MOD(COUNTIF($N$6:N9,"DRAFT INCLUDE")-1,'Decision Summary'!$B$12)+1,"")</x:f>
      </x:c>
      <x:c r="R9" s="98" t="str">
        <x:v>PENDING</x:v>
      </x:c>
      <x:c r="S9" s="98" t="str"/>
      <x:c r="T9" s="98" t="str">
        <x:v>Top-five balances represent 98.84% of V1 supply and cannot be treated as ordinary holder payouts without wallet ownership/tokenomics mapping.</x:v>
      </x:c>
      <x:c r="U9" s="89" t="str">
        <x:v>https://etherscan.io/token/0x445d03f499f1c150615957bb87588fb465fc91cc#balances</x:v>
      </x:c>
      <x:c r="V9" s="89" t="b">
        <x:f>COUNTIF($C$6:$C$502,C9)&gt;1</x:f>
        <x:v>0</x:v>
      </x:c>
    </x:row>
    <x:row r="10">
      <x:c r="A10" s="89" t="n">
        <x:v>5</x:v>
      </x:c>
      <x:c r="B10" s="89" t="str">
        <x:v>v1-mainnet-0005</x:v>
      </x:c>
      <x:c r="C10" s="90" t="str">
        <x:v>0x706df7f43f2d552928c72c04f6bd7b056d76b336</x:v>
      </x:c>
      <x:c r="D10" s="98" t="str"/>
      <x:c r="E10" s="98" t="str">
        <x:v>TOP5_OWNER_CLASSIFICATION_REQUIRED</x:v>
      </x:c>
      <x:c r="F10" s="91" t="b">
        <x:v>0</x:v>
      </x:c>
      <x:c r="G10" s="89" t="n">
        <x:v>0</x:v>
      </x:c>
      <x:c r="H10" s="90" t="str">
        <x:v>10000000000000000000</x:v>
      </x:c>
      <x:c r="I10" s="92" t="n">
        <x:v>10000000</x:v>
      </x:c>
      <x:c r="J10" s="92" t="str">
        <x:v>10000000000000000000000000</x:v>
      </x:c>
      <x:c r="K10" s="92" t="n">
        <x:v>10000000</x:v>
      </x:c>
      <x:c r="L10" s="98" t="str">
        <x:v>HOLD_OWNER_DECISION_REQUIRED</x:v>
      </x:c>
      <x:c r="M10" s="98" t="b">
        <x:f>IF(E10="EOA_CANDIDATE",I10&gt;='Decision Summary'!$B$11,FALSE)</x:f>
        <x:v>0</x:v>
      </x:c>
      <x:c r="N10" s="98" t="str">
        <x:f>IF(M10,"DRAFT INCLUDE","HOLD / EXCLUDE")</x:f>
        <x:v>HOLD / EXCLUDE</x:v>
      </x:c>
      <x:c r="O10" s="101" t="str">
        <x:f>IF(M10,C10,"")</x:f>
      </x:c>
      <x:c r="P10" s="98" t="str">
        <x:f>IF(N10="DRAFT INCLUDE",ROUNDUP(COUNTIF($N$6:N10,"DRAFT INCLUDE")/'Decision Summary'!$B$12,0),"")</x:f>
      </x:c>
      <x:c r="Q10" s="98" t="str">
        <x:f>IF(N10="DRAFT INCLUDE",MOD(COUNTIF($N$6:N10,"DRAFT INCLUDE")-1,'Decision Summary'!$B$12)+1,"")</x:f>
      </x:c>
      <x:c r="R10" s="98" t="str">
        <x:v>PENDING</x:v>
      </x:c>
      <x:c r="S10" s="98" t="str"/>
      <x:c r="T10" s="98" t="str">
        <x:v>Top-five balances represent 98.84% of V1 supply and cannot be treated as ordinary holder payouts without wallet ownership/tokenomics mapping.</x:v>
      </x:c>
      <x:c r="U10" s="89" t="str">
        <x:v>https://etherscan.io/token/0x445d03f499f1c150615957bb87588fb465fc91cc#balances</x:v>
      </x:c>
      <x:c r="V10" s="89" t="b">
        <x:f>COUNTIF($C$6:$C$502,C10)&gt;1</x:f>
        <x:v>0</x:v>
      </x:c>
    </x:row>
    <x:row r="11">
      <x:c r="A11" s="89" t="n">
        <x:v>6</x:v>
      </x:c>
      <x:c r="B11" s="89" t="str">
        <x:v>v1-mainnet-0006</x:v>
      </x:c>
      <x:c r="C11" s="90" t="str">
        <x:v>0xd15749a7ae26cbab8f56831e029471d4cc756082</x:v>
      </x:c>
      <x:c r="D11" s="98" t="str"/>
      <x:c r="E11" s="98" t="str">
        <x:v>EOA_CANDIDATE</x:v>
      </x:c>
      <x:c r="F11" s="91" t="b">
        <x:v>0</x:v>
      </x:c>
      <x:c r="G11" s="89" t="n">
        <x:v>0</x:v>
      </x:c>
      <x:c r="H11" s="90" t="str">
        <x:v>5020982682245025491</x:v>
      </x:c>
      <x:c r="I11" s="92" t="n">
        <x:v>5020982.682245025</x:v>
      </x:c>
      <x:c r="J11" s="92" t="str">
        <x:v>5020982682245025491000000</x:v>
      </x:c>
      <x:c r="K11" s="92" t="n">
        <x:v>5020982.682245025</x:v>
      </x:c>
      <x:c r="L11" s="98" t="str">
        <x:v>PENDING_OWNER_ELIGIBILITY_APPROVAL</x:v>
      </x:c>
      <x:c r="M11" s="98" t="b">
        <x:f>IF(E11="EOA_CANDIDATE",I11&gt;='Decision Summary'!$B$11,FALSE)</x:f>
        <x:v>1</x:v>
      </x:c>
      <x:c r="N11" s="98" t="str">
        <x:f>IF(M11,"DRAFT INCLUDE","HOLD / EXCLUDE")</x:f>
        <x:v>DRAFT INCLUDE</x:v>
      </x:c>
      <x:c r="O11" s="101" t="str">
        <x:f>IF(M11,C11,"")</x:f>
        <x:v>0xd15749a7ae26cbab8f56831e029471d4cc756082</x:v>
      </x:c>
      <x:c r="P11" s="98" t="n">
        <x:f>IF(N11="DRAFT INCLUDE",ROUNDUP(COUNTIF($N$6:N11,"DRAFT INCLUDE")/'Decision Summary'!$B$12,0),"")</x:f>
        <x:v>1</x:v>
      </x:c>
      <x:c r="Q11" s="98" t="n">
        <x:f>IF(N11="DRAFT INCLUDE",MOD(COUNTIF($N$6:N11,"DRAFT INCLUDE")-1,'Decision Summary'!$B$12)+1,"")</x:f>
        <x:v>1</x:v>
      </x:c>
      <x:c r="R11" s="98" t="str">
        <x:v>PENDING</x:v>
      </x:c>
      <x:c r="S11" s="98" t="str"/>
      <x:c r="T11" s="98" t="str">
        <x:v>Ordinary EOA candidate; inclusion still depends on V1 deprecation, threshold policy and owner approval.</x:v>
      </x:c>
      <x:c r="U11" s="89" t="str">
        <x:v>https://etherscan.io/token/0x445d03f499f1c150615957bb87588fb465fc91cc#balances</x:v>
      </x:c>
      <x:c r="V11" s="89" t="b">
        <x:f>COUNTIF($C$6:$C$502,C11)&gt;1</x:f>
        <x:v>0</x:v>
      </x:c>
    </x:row>
    <x:row r="12">
      <x:c r="A12" s="89" t="n">
        <x:v>7</x:v>
      </x:c>
      <x:c r="B12" s="89" t="str">
        <x:v>v1-mainnet-0007</x:v>
      </x:c>
      <x:c r="C12" s="90" t="str">
        <x:v>0x83ff1cd3ae8e7a2d55a43815985b11d41540ac65</x:v>
      </x:c>
      <x:c r="D12" s="98" t="str"/>
      <x:c r="E12" s="98" t="str">
        <x:v>EOA_CANDIDATE</x:v>
      </x:c>
      <x:c r="F12" s="91" t="b">
        <x:v>0</x:v>
      </x:c>
      <x:c r="G12" s="89" t="n">
        <x:v>0</x:v>
      </x:c>
      <x:c r="H12" s="90" t="str">
        <x:v>1524956194156863776</x:v>
      </x:c>
      <x:c r="I12" s="92" t="n">
        <x:v>1524956.1941568637</x:v>
      </x:c>
      <x:c r="J12" s="92" t="str">
        <x:v>1524956194156863776000000</x:v>
      </x:c>
      <x:c r="K12" s="92" t="n">
        <x:v>1524956.1941568637</x:v>
      </x:c>
      <x:c r="L12" s="98" t="str">
        <x:v>PENDING_OWNER_ELIGIBILITY_APPROVAL</x:v>
      </x:c>
      <x:c r="M12" s="98" t="b">
        <x:f>IF(E12="EOA_CANDIDATE",I12&gt;='Decision Summary'!$B$11,FALSE)</x:f>
        <x:v>1</x:v>
      </x:c>
      <x:c r="N12" s="98" t="str">
        <x:f>IF(M12,"DRAFT INCLUDE","HOLD / EXCLUDE")</x:f>
        <x:v>DRAFT INCLUDE</x:v>
      </x:c>
      <x:c r="O12" s="101" t="str">
        <x:f>IF(M12,C12,"")</x:f>
        <x:v>0x83ff1cd3ae8e7a2d55a43815985b11d41540ac65</x:v>
      </x:c>
      <x:c r="P12" s="98" t="n">
        <x:f>IF(N12="DRAFT INCLUDE",ROUNDUP(COUNTIF($N$6:N12,"DRAFT INCLUDE")/'Decision Summary'!$B$12,0),"")</x:f>
        <x:v>1</x:v>
      </x:c>
      <x:c r="Q12" s="98" t="n">
        <x:f>IF(N12="DRAFT INCLUDE",MOD(COUNTIF($N$6:N12,"DRAFT INCLUDE")-1,'Decision Summary'!$B$12)+1,"")</x:f>
        <x:v>2</x:v>
      </x:c>
      <x:c r="R12" s="98" t="str">
        <x:v>PENDING</x:v>
      </x:c>
      <x:c r="S12" s="98" t="str"/>
      <x:c r="T12" s="98" t="str">
        <x:v>Ordinary EOA candidate; inclusion still depends on V1 deprecation, threshold policy and owner approval.</x:v>
      </x:c>
      <x:c r="U12" s="89" t="str">
        <x:v>https://etherscan.io/token/0x445d03f499f1c150615957bb87588fb465fc91cc#balances</x:v>
      </x:c>
      <x:c r="V12" s="89" t="b">
        <x:f>COUNTIF($C$6:$C$502,C12)&gt;1</x:f>
        <x:v>0</x:v>
      </x:c>
    </x:row>
    <x:row r="13">
      <x:c r="A13" s="89" t="n">
        <x:v>8</x:v>
      </x:c>
      <x:c r="B13" s="89" t="str">
        <x:v>v1-mainnet-0008</x:v>
      </x:c>
      <x:c r="C13" s="90" t="str">
        <x:v>0xad711454019916c9c170426c7c8f38bde739de57</x:v>
      </x:c>
      <x:c r="D13" s="98" t="str"/>
      <x:c r="E13" s="98" t="str">
        <x:v>EOA_CANDIDATE</x:v>
      </x:c>
      <x:c r="F13" s="91" t="b">
        <x:v>0</x:v>
      </x:c>
      <x:c r="G13" s="89" t="n">
        <x:v>0</x:v>
      </x:c>
      <x:c r="H13" s="90" t="str">
        <x:v>948059794773655813</x:v>
      </x:c>
      <x:c r="I13" s="92" t="n">
        <x:v>948059.7947736558</x:v>
      </x:c>
      <x:c r="J13" s="92" t="str">
        <x:v>948059794773655813000000</x:v>
      </x:c>
      <x:c r="K13" s="92" t="n">
        <x:v>948059.7947736558</x:v>
      </x:c>
      <x:c r="L13" s="98" t="str">
        <x:v>PENDING_OWNER_ELIGIBILITY_APPROVAL</x:v>
      </x:c>
      <x:c r="M13" s="98" t="b">
        <x:f>IF(E13="EOA_CANDIDATE",I13&gt;='Decision Summary'!$B$11,FALSE)</x:f>
        <x:v>1</x:v>
      </x:c>
      <x:c r="N13" s="98" t="str">
        <x:f>IF(M13,"DRAFT INCLUDE","HOLD / EXCLUDE")</x:f>
        <x:v>DRAFT INCLUDE</x:v>
      </x:c>
      <x:c r="O13" s="101" t="str">
        <x:f>IF(M13,C13,"")</x:f>
        <x:v>0xad711454019916c9c170426c7c8f38bde739de57</x:v>
      </x:c>
      <x:c r="P13" s="98" t="n">
        <x:f>IF(N13="DRAFT INCLUDE",ROUNDUP(COUNTIF($N$6:N13,"DRAFT INCLUDE")/'Decision Summary'!$B$12,0),"")</x:f>
        <x:v>1</x:v>
      </x:c>
      <x:c r="Q13" s="98" t="n">
        <x:f>IF(N13="DRAFT INCLUDE",MOD(COUNTIF($N$6:N13,"DRAFT INCLUDE")-1,'Decision Summary'!$B$12)+1,"")</x:f>
        <x:v>3</x:v>
      </x:c>
      <x:c r="R13" s="98" t="str">
        <x:v>PENDING</x:v>
      </x:c>
      <x:c r="S13" s="98" t="str"/>
      <x:c r="T13" s="98" t="str">
        <x:v>Ordinary EOA candidate; inclusion still depends on V1 deprecation, threshold policy and owner approval.</x:v>
      </x:c>
      <x:c r="U13" s="89" t="str">
        <x:v>https://etherscan.io/token/0x445d03f499f1c150615957bb87588fb465fc91cc#balances</x:v>
      </x:c>
      <x:c r="V13" s="89" t="b">
        <x:f>COUNTIF($C$6:$C$502,C13)&gt;1</x:f>
        <x:v>0</x:v>
      </x:c>
    </x:row>
    <x:row r="14">
      <x:c r="A14" s="89" t="n">
        <x:v>9</x:v>
      </x:c>
      <x:c r="B14" s="89" t="str">
        <x:v>v1-mainnet-0009</x:v>
      </x:c>
      <x:c r="C14" s="90" t="str">
        <x:v>0xa22d7cb335dfbdd6338be3dafa46284e71effdc2</x:v>
      </x:c>
      <x:c r="D14" s="98" t="str"/>
      <x:c r="E14" s="98" t="str">
        <x:v>EOA_CANDIDATE</x:v>
      </x:c>
      <x:c r="F14" s="91" t="b">
        <x:v>0</x:v>
      </x:c>
      <x:c r="G14" s="89" t="n">
        <x:v>0</x:v>
      </x:c>
      <x:c r="H14" s="90" t="str">
        <x:v>865000044816488073</x:v>
      </x:c>
      <x:c r="I14" s="92" t="n">
        <x:v>865000.044816488</x:v>
      </x:c>
      <x:c r="J14" s="92" t="str">
        <x:v>865000044816488073000000</x:v>
      </x:c>
      <x:c r="K14" s="92" t="n">
        <x:v>865000.044816488</x:v>
      </x:c>
      <x:c r="L14" s="98" t="str">
        <x:v>PENDING_OWNER_ELIGIBILITY_APPROVAL</x:v>
      </x:c>
      <x:c r="M14" s="98" t="b">
        <x:f>IF(E14="EOA_CANDIDATE",I14&gt;='Decision Summary'!$B$11,FALSE)</x:f>
        <x:v>1</x:v>
      </x:c>
      <x:c r="N14" s="98" t="str">
        <x:f>IF(M14,"DRAFT INCLUDE","HOLD / EXCLUDE")</x:f>
        <x:v>DRAFT INCLUDE</x:v>
      </x:c>
      <x:c r="O14" s="101" t="str">
        <x:f>IF(M14,C14,"")</x:f>
        <x:v>0xa22d7cb335dfbdd6338be3dafa46284e71effdc2</x:v>
      </x:c>
      <x:c r="P14" s="98" t="n">
        <x:f>IF(N14="DRAFT INCLUDE",ROUNDUP(COUNTIF($N$6:N14,"DRAFT INCLUDE")/'Decision Summary'!$B$12,0),"")</x:f>
        <x:v>1</x:v>
      </x:c>
      <x:c r="Q14" s="98" t="n">
        <x:f>IF(N14="DRAFT INCLUDE",MOD(COUNTIF($N$6:N14,"DRAFT INCLUDE")-1,'Decision Summary'!$B$12)+1,"")</x:f>
        <x:v>4</x:v>
      </x:c>
      <x:c r="R14" s="98" t="str">
        <x:v>PENDING</x:v>
      </x:c>
      <x:c r="S14" s="98" t="str"/>
      <x:c r="T14" s="98" t="str">
        <x:v>Ordinary EOA candidate; inclusion still depends on V1 deprecation, threshold policy and owner approval.</x:v>
      </x:c>
      <x:c r="U14" s="89" t="str">
        <x:v>https://etherscan.io/token/0x445d03f499f1c150615957bb87588fb465fc91cc#balances</x:v>
      </x:c>
      <x:c r="V14" s="89" t="b">
        <x:f>COUNTIF($C$6:$C$502,C14)&gt;1</x:f>
        <x:v>0</x:v>
      </x:c>
    </x:row>
    <x:row r="15">
      <x:c r="A15" s="89" t="n">
        <x:v>10</x:v>
      </x:c>
      <x:c r="B15" s="89" t="str">
        <x:v>v1-mainnet-0010</x:v>
      </x:c>
      <x:c r="C15" s="90" t="str">
        <x:v>0xfd00644213cc50dab420298ac4a103a11d79d4f1</x:v>
      </x:c>
      <x:c r="D15" s="98" t="str"/>
      <x:c r="E15" s="98" t="str">
        <x:v>EOA_CANDIDATE</x:v>
      </x:c>
      <x:c r="F15" s="91" t="b">
        <x:v>0</x:v>
      </x:c>
      <x:c r="G15" s="89" t="n">
        <x:v>0</x:v>
      </x:c>
      <x:c r="H15" s="90" t="str">
        <x:v>852437731810681454</x:v>
      </x:c>
      <x:c r="I15" s="92" t="n">
        <x:v>852437.7318106814</x:v>
      </x:c>
      <x:c r="J15" s="92" t="str">
        <x:v>852437731810681454000000</x:v>
      </x:c>
      <x:c r="K15" s="92" t="n">
        <x:v>852437.7318106814</x:v>
      </x:c>
      <x:c r="L15" s="98" t="str">
        <x:v>PENDING_OWNER_ELIGIBILITY_APPROVAL</x:v>
      </x:c>
      <x:c r="M15" s="98" t="b">
        <x:f>IF(E15="EOA_CANDIDATE",I15&gt;='Decision Summary'!$B$11,FALSE)</x:f>
        <x:v>1</x:v>
      </x:c>
      <x:c r="N15" s="98" t="str">
        <x:f>IF(M15,"DRAFT INCLUDE","HOLD / EXCLUDE")</x:f>
        <x:v>DRAFT INCLUDE</x:v>
      </x:c>
      <x:c r="O15" s="101" t="str">
        <x:f>IF(M15,C15,"")</x:f>
        <x:v>0xfd00644213cc50dab420298ac4a103a11d79d4f1</x:v>
      </x:c>
      <x:c r="P15" s="98" t="n">
        <x:f>IF(N15="DRAFT INCLUDE",ROUNDUP(COUNTIF($N$6:N15,"DRAFT INCLUDE")/'Decision Summary'!$B$12,0),"")</x:f>
        <x:v>1</x:v>
      </x:c>
      <x:c r="Q15" s="98" t="n">
        <x:f>IF(N15="DRAFT INCLUDE",MOD(COUNTIF($N$6:N15,"DRAFT INCLUDE")-1,'Decision Summary'!$B$12)+1,"")</x:f>
        <x:v>5</x:v>
      </x:c>
      <x:c r="R15" s="98" t="str">
        <x:v>PENDING</x:v>
      </x:c>
      <x:c r="S15" s="98" t="str"/>
      <x:c r="T15" s="98" t="str">
        <x:v>Ordinary EOA candidate; inclusion still depends on V1 deprecation, threshold policy and owner approval.</x:v>
      </x:c>
      <x:c r="U15" s="89" t="str">
        <x:v>https://etherscan.io/token/0x445d03f499f1c150615957bb87588fb465fc91cc#balances</x:v>
      </x:c>
      <x:c r="V15" s="89" t="b">
        <x:f>COUNTIF($C$6:$C$502,C15)&gt;1</x:f>
        <x:v>0</x:v>
      </x:c>
    </x:row>
    <x:row r="16">
      <x:c r="A16" s="89" t="n">
        <x:v>11</x:v>
      </x:c>
      <x:c r="B16" s="89" t="str">
        <x:v>v1-mainnet-0011</x:v>
      </x:c>
      <x:c r="C16" s="90" t="str">
        <x:v>0x0a80a5921ff574795a9c4e01aed176d6276d3820</x:v>
      </x:c>
      <x:c r="D16" s="98" t="str"/>
      <x:c r="E16" s="98" t="str">
        <x:v>EOA_CANDIDATE</x:v>
      </x:c>
      <x:c r="F16" s="91" t="b">
        <x:v>0</x:v>
      </x:c>
      <x:c r="G16" s="89" t="n">
        <x:v>0</x:v>
      </x:c>
      <x:c r="H16" s="90" t="str">
        <x:v>840605974156609188</x:v>
      </x:c>
      <x:c r="I16" s="92" t="n">
        <x:v>840605.9741566092</x:v>
      </x:c>
      <x:c r="J16" s="92" t="str">
        <x:v>840605974156609188000000</x:v>
      </x:c>
      <x:c r="K16" s="92" t="n">
        <x:v>840605.9741566092</x:v>
      </x:c>
      <x:c r="L16" s="98" t="str">
        <x:v>PENDING_OWNER_ELIGIBILITY_APPROVAL</x:v>
      </x:c>
      <x:c r="M16" s="98" t="b">
        <x:f>IF(E16="EOA_CANDIDATE",I16&gt;='Decision Summary'!$B$11,FALSE)</x:f>
        <x:v>1</x:v>
      </x:c>
      <x:c r="N16" s="98" t="str">
        <x:f>IF(M16,"DRAFT INCLUDE","HOLD / EXCLUDE")</x:f>
        <x:v>DRAFT INCLUDE</x:v>
      </x:c>
      <x:c r="O16" s="101" t="str">
        <x:f>IF(M16,C16,"")</x:f>
        <x:v>0x0a80a5921ff574795a9c4e01aed176d6276d3820</x:v>
      </x:c>
      <x:c r="P16" s="98" t="n">
        <x:f>IF(N16="DRAFT INCLUDE",ROUNDUP(COUNTIF($N$6:N16,"DRAFT INCLUDE")/'Decision Summary'!$B$12,0),"")</x:f>
        <x:v>1</x:v>
      </x:c>
      <x:c r="Q16" s="98" t="n">
        <x:f>IF(N16="DRAFT INCLUDE",MOD(COUNTIF($N$6:N16,"DRAFT INCLUDE")-1,'Decision Summary'!$B$12)+1,"")</x:f>
        <x:v>6</x:v>
      </x:c>
      <x:c r="R16" s="98" t="str">
        <x:v>PENDING</x:v>
      </x:c>
      <x:c r="S16" s="98" t="str"/>
      <x:c r="T16" s="98" t="str">
        <x:v>Ordinary EOA candidate; inclusion still depends on V1 deprecation, threshold policy and owner approval.</x:v>
      </x:c>
      <x:c r="U16" s="89" t="str">
        <x:v>https://etherscan.io/token/0x445d03f499f1c150615957bb87588fb465fc91cc#balances</x:v>
      </x:c>
      <x:c r="V16" s="89" t="b">
        <x:f>COUNTIF($C$6:$C$502,C16)&gt;1</x:f>
        <x:v>0</x:v>
      </x:c>
    </x:row>
    <x:row r="17">
      <x:c r="A17" s="89" t="n">
        <x:v>12</x:v>
      </x:c>
      <x:c r="B17" s="89" t="str">
        <x:v>v1-mainnet-0012</x:v>
      </x:c>
      <x:c r="C17" s="90" t="str">
        <x:v>0x000000000004444c5dc75cb358380d2e3de08a90</x:v>
      </x:c>
      <x:c r="D17" s="98" t="str">
        <x:v>Uniswap V4: Pool Manager</x:v>
      </x:c>
      <x:c r="E17" s="98" t="str">
        <x:v>DEX_INFRASTRUCTURE</x:v>
      </x:c>
      <x:c r="F17" s="91" t="b">
        <x:v>1</x:v>
      </x:c>
      <x:c r="G17" s="89" t="n">
        <x:v>24009</x:v>
      </x:c>
      <x:c r="H17" s="90" t="str">
        <x:v>796919500028702821</x:v>
      </x:c>
      <x:c r="I17" s="92" t="n">
        <x:v>796919.5000287028</x:v>
      </x:c>
      <x:c r="J17" s="92" t="str">
        <x:v>796919500028702821000000</x:v>
      </x:c>
      <x:c r="K17" s="92" t="n">
        <x:v>796919.5000287028</x:v>
      </x:c>
      <x:c r="L17" s="98" t="str">
        <x:v>EXCLUDE_DEX_INFRASTRUCTURE</x:v>
      </x:c>
      <x:c r="M17" s="98" t="b">
        <x:f>IF(E17="EOA_CANDIDATE",I17&gt;='Decision Summary'!$B$11,FALSE)</x:f>
        <x:v>0</x:v>
      </x:c>
      <x:c r="N17" s="98" t="str">
        <x:f>IF(M17,"DRAFT INCLUDE","HOLD / EXCLUDE")</x:f>
        <x:v>HOLD / EXCLUDE</x:v>
      </x:c>
      <x:c r="O17" s="101" t="str">
        <x:f>IF(M17,C17,"")</x:f>
      </x:c>
      <x:c r="P17" s="98" t="str">
        <x:f>IF(N17="DRAFT INCLUDE",ROUNDUP(COUNTIF($N$6:N17,"DRAFT INCLUDE")/'Decision Summary'!$B$12,0),"")</x:f>
      </x:c>
      <x:c r="Q17" s="98" t="str">
        <x:f>IF(N17="DRAFT INCLUDE",MOD(COUNTIF($N$6:N17,"DRAFT INCLUDE")-1,'Decision Summary'!$B$12)+1,"")</x:f>
      </x:c>
      <x:c r="R17" s="98" t="str">
        <x:v>PENDING</x:v>
      </x:c>
      <x:c r="S17" s="98" t="str"/>
      <x:c r="T17" s="98" t="str">
        <x:v>Uniswap V4 PoolManager balance is protocol liquidity/infrastructure, not a direct holder recipient.</x:v>
      </x:c>
      <x:c r="U17" s="89" t="str">
        <x:v>https://etherscan.io/token/0x445d03f499f1c150615957bb87588fb465fc91cc#balances</x:v>
      </x:c>
      <x:c r="V17" s="89" t="b">
        <x:f>COUNTIF($C$6:$C$502,C17)&gt;1</x:f>
        <x:v>0</x:v>
      </x:c>
    </x:row>
    <x:row r="18">
      <x:c r="A18" s="89" t="n">
        <x:v>13</x:v>
      </x:c>
      <x:c r="B18" s="89" t="str">
        <x:v>v1-mainnet-0013</x:v>
      </x:c>
      <x:c r="C18" s="90" t="str">
        <x:v>0x5a57ee9a7439f665639c25520d20c06b6a4cb20a</x:v>
      </x:c>
      <x:c r="D18" s="98" t="str"/>
      <x:c r="E18" s="98" t="str">
        <x:v>EOA_CANDIDATE</x:v>
      </x:c>
      <x:c r="F18" s="91" t="b">
        <x:v>0</x:v>
      </x:c>
      <x:c r="G18" s="89" t="n">
        <x:v>0</x:v>
      </x:c>
      <x:c r="H18" s="90" t="str">
        <x:v>215335945204563372</x:v>
      </x:c>
      <x:c r="I18" s="92" t="n">
        <x:v>215335.94520456338</x:v>
      </x:c>
      <x:c r="J18" s="92" t="str">
        <x:v>215335945204563372000000</x:v>
      </x:c>
      <x:c r="K18" s="92" t="n">
        <x:v>215335.94520456338</x:v>
      </x:c>
      <x:c r="L18" s="98" t="str">
        <x:v>PENDING_OWNER_ELIGIBILITY_APPROVAL</x:v>
      </x:c>
      <x:c r="M18" s="98" t="b">
        <x:f>IF(E18="EOA_CANDIDATE",I18&gt;='Decision Summary'!$B$11,FALSE)</x:f>
        <x:v>1</x:v>
      </x:c>
      <x:c r="N18" s="98" t="str">
        <x:f>IF(M18,"DRAFT INCLUDE","HOLD / EXCLUDE")</x:f>
        <x:v>DRAFT INCLUDE</x:v>
      </x:c>
      <x:c r="O18" s="101" t="str">
        <x:f>IF(M18,C18,"")</x:f>
        <x:v>0x5a57ee9a7439f665639c25520d20c06b6a4cb20a</x:v>
      </x:c>
      <x:c r="P18" s="98" t="n">
        <x:f>IF(N18="DRAFT INCLUDE",ROUNDUP(COUNTIF($N$6:N18,"DRAFT INCLUDE")/'Decision Summary'!$B$12,0),"")</x:f>
        <x:v>1</x:v>
      </x:c>
      <x:c r="Q18" s="98" t="n">
        <x:f>IF(N18="DRAFT INCLUDE",MOD(COUNTIF($N$6:N18,"DRAFT INCLUDE")-1,'Decision Summary'!$B$12)+1,"")</x:f>
        <x:v>7</x:v>
      </x:c>
      <x:c r="R18" s="98" t="str">
        <x:v>PENDING</x:v>
      </x:c>
      <x:c r="S18" s="98" t="str"/>
      <x:c r="T18" s="98" t="str">
        <x:v>Ordinary EOA candidate; inclusion still depends on V1 deprecation, threshold policy and owner approval.</x:v>
      </x:c>
      <x:c r="U18" s="89" t="str">
        <x:v>https://etherscan.io/token/0x445d03f499f1c150615957bb87588fb465fc91cc#balances</x:v>
      </x:c>
      <x:c r="V18" s="89" t="b">
        <x:f>COUNTIF($C$6:$C$502,C18)&gt;1</x:f>
        <x:v>0</x:v>
      </x:c>
    </x:row>
    <x:row r="19">
      <x:c r="A19" s="89" t="n">
        <x:v>14</x:v>
      </x:c>
      <x:c r="B19" s="89" t="str">
        <x:v>v1-mainnet-0014</x:v>
      </x:c>
      <x:c r="C19" s="90" t="str">
        <x:v>0xbefa5f098ab2804e7e409b8d683994e1b0e45849</x:v>
      </x:c>
      <x:c r="D19" s="98" t="str"/>
      <x:c r="E19" s="98" t="str">
        <x:v>EOA_CANDIDATE</x:v>
      </x:c>
      <x:c r="F19" s="91" t="b">
        <x:v>0</x:v>
      </x:c>
      <x:c r="G19" s="89" t="n">
        <x:v>0</x:v>
      </x:c>
      <x:c r="H19" s="90" t="str">
        <x:v>111450000000000000</x:v>
      </x:c>
      <x:c r="I19" s="92" t="n">
        <x:v>111450</x:v>
      </x:c>
      <x:c r="J19" s="92" t="str">
        <x:v>111450000000000000000000</x:v>
      </x:c>
      <x:c r="K19" s="92" t="n">
        <x:v>111450</x:v>
      </x:c>
      <x:c r="L19" s="98" t="str">
        <x:v>PENDING_OWNER_ELIGIBILITY_APPROVAL</x:v>
      </x:c>
      <x:c r="M19" s="98" t="b">
        <x:f>IF(E19="EOA_CANDIDATE",I19&gt;='Decision Summary'!$B$11,FALSE)</x:f>
        <x:v>1</x:v>
      </x:c>
      <x:c r="N19" s="98" t="str">
        <x:f>IF(M19,"DRAFT INCLUDE","HOLD / EXCLUDE")</x:f>
        <x:v>DRAFT INCLUDE</x:v>
      </x:c>
      <x:c r="O19" s="101" t="str">
        <x:f>IF(M19,C19,"")</x:f>
        <x:v>0xbefa5f098ab2804e7e409b8d683994e1b0e45849</x:v>
      </x:c>
      <x:c r="P19" s="98" t="n">
        <x:f>IF(N19="DRAFT INCLUDE",ROUNDUP(COUNTIF($N$6:N19,"DRAFT INCLUDE")/'Decision Summary'!$B$12,0),"")</x:f>
        <x:v>1</x:v>
      </x:c>
      <x:c r="Q19" s="98" t="n">
        <x:f>IF(N19="DRAFT INCLUDE",MOD(COUNTIF($N$6:N19,"DRAFT INCLUDE")-1,'Decision Summary'!$B$12)+1,"")</x:f>
        <x:v>8</x:v>
      </x:c>
      <x:c r="R19" s="98" t="str">
        <x:v>PENDING</x:v>
      </x:c>
      <x:c r="S19" s="98" t="str"/>
      <x:c r="T19" s="98" t="str">
        <x:v>Ordinary EOA candidate; inclusion still depends on V1 deprecation, threshold policy and owner approval.</x:v>
      </x:c>
      <x:c r="U19" s="89" t="str">
        <x:v>https://etherscan.io/token/0x445d03f499f1c150615957bb87588fb465fc91cc#balances</x:v>
      </x:c>
      <x:c r="V19" s="89" t="b">
        <x:f>COUNTIF($C$6:$C$502,C19)&gt;1</x:f>
        <x:v>0</x:v>
      </x:c>
    </x:row>
    <x:row r="20">
      <x:c r="A20" s="89" t="n">
        <x:v>15</x:v>
      </x:c>
      <x:c r="B20" s="89" t="str">
        <x:v>v1-mainnet-0015</x:v>
      </x:c>
      <x:c r="C20" s="90" t="str">
        <x:v>0x873816603bd7eb400ef89364e2d8ea4ac5c490e2</x:v>
      </x:c>
      <x:c r="D20" s="98" t="str"/>
      <x:c r="E20" s="98" t="str">
        <x:v>EOA_CANDIDATE</x:v>
      </x:c>
      <x:c r="F20" s="91" t="b">
        <x:v>0</x:v>
      </x:c>
      <x:c r="G20" s="89" t="n">
        <x:v>0</x:v>
      </x:c>
      <x:c r="H20" s="90" t="str">
        <x:v>105753848404187421</x:v>
      </x:c>
      <x:c r="I20" s="92" t="n">
        <x:v>105753.84840418742</x:v>
      </x:c>
      <x:c r="J20" s="92" t="str">
        <x:v>105753848404187421000000</x:v>
      </x:c>
      <x:c r="K20" s="92" t="n">
        <x:v>105753.84840418742</x:v>
      </x:c>
      <x:c r="L20" s="98" t="str">
        <x:v>PENDING_OWNER_ELIGIBILITY_APPROVAL</x:v>
      </x:c>
      <x:c r="M20" s="98" t="b">
        <x:f>IF(E20="EOA_CANDIDATE",I20&gt;='Decision Summary'!$B$11,FALSE)</x:f>
        <x:v>1</x:v>
      </x:c>
      <x:c r="N20" s="98" t="str">
        <x:f>IF(M20,"DRAFT INCLUDE","HOLD / EXCLUDE")</x:f>
        <x:v>DRAFT INCLUDE</x:v>
      </x:c>
      <x:c r="O20" s="101" t="str">
        <x:f>IF(M20,C20,"")</x:f>
        <x:v>0x873816603bd7eb400ef89364e2d8ea4ac5c490e2</x:v>
      </x:c>
      <x:c r="P20" s="98" t="n">
        <x:f>IF(N20="DRAFT INCLUDE",ROUNDUP(COUNTIF($N$6:N20,"DRAFT INCLUDE")/'Decision Summary'!$B$12,0),"")</x:f>
        <x:v>1</x:v>
      </x:c>
      <x:c r="Q20" s="98" t="n">
        <x:f>IF(N20="DRAFT INCLUDE",MOD(COUNTIF($N$6:N20,"DRAFT INCLUDE")-1,'Decision Summary'!$B$12)+1,"")</x:f>
        <x:v>9</x:v>
      </x:c>
      <x:c r="R20" s="98" t="str">
        <x:v>PENDING</x:v>
      </x:c>
      <x:c r="S20" s="98" t="str"/>
      <x:c r="T20" s="98" t="str">
        <x:v>Ordinary EOA candidate; inclusion still depends on V1 deprecation, threshold policy and owner approval.</x:v>
      </x:c>
      <x:c r="U20" s="89" t="str">
        <x:v>https://etherscan.io/token/0x445d03f499f1c150615957bb87588fb465fc91cc#balances</x:v>
      </x:c>
      <x:c r="V20" s="89" t="b">
        <x:f>COUNTIF($C$6:$C$502,C20)&gt;1</x:f>
        <x:v>0</x:v>
      </x:c>
    </x:row>
    <x:row r="21">
      <x:c r="A21" s="89" t="n">
        <x:v>16</x:v>
      </x:c>
      <x:c r="B21" s="89" t="str">
        <x:v>v1-mainnet-0016</x:v>
      </x:c>
      <x:c r="C21" s="90" t="str">
        <x:v>0xcf89b519825876c7ac6dfe56a1caa35abfce565f</x:v>
      </x:c>
      <x:c r="D21" s="98" t="str"/>
      <x:c r="E21" s="98" t="str">
        <x:v>EOA_CANDIDATE</x:v>
      </x:c>
      <x:c r="F21" s="91" t="b">
        <x:v>0</x:v>
      </x:c>
      <x:c r="G21" s="89" t="n">
        <x:v>0</x:v>
      </x:c>
      <x:c r="H21" s="90" t="str">
        <x:v>71243791691435985</x:v>
      </x:c>
      <x:c r="I21" s="92" t="n">
        <x:v>71243.79169143598</x:v>
      </x:c>
      <x:c r="J21" s="92" t="str">
        <x:v>71243791691435985000000</x:v>
      </x:c>
      <x:c r="K21" s="92" t="n">
        <x:v>71243.79169143598</x:v>
      </x:c>
      <x:c r="L21" s="98" t="str">
        <x:v>PENDING_OWNER_ELIGIBILITY_APPROVAL</x:v>
      </x:c>
      <x:c r="M21" s="98" t="b">
        <x:f>IF(E21="EOA_CANDIDATE",I21&gt;='Decision Summary'!$B$11,FALSE)</x:f>
        <x:v>1</x:v>
      </x:c>
      <x:c r="N21" s="98" t="str">
        <x:f>IF(M21,"DRAFT INCLUDE","HOLD / EXCLUDE")</x:f>
        <x:v>DRAFT INCLUDE</x:v>
      </x:c>
      <x:c r="O21" s="101" t="str">
        <x:f>IF(M21,C21,"")</x:f>
        <x:v>0xcf89b519825876c7ac6dfe56a1caa35abfce565f</x:v>
      </x:c>
      <x:c r="P21" s="98" t="n">
        <x:f>IF(N21="DRAFT INCLUDE",ROUNDUP(COUNTIF($N$6:N21,"DRAFT INCLUDE")/'Decision Summary'!$B$12,0),"")</x:f>
        <x:v>1</x:v>
      </x:c>
      <x:c r="Q21" s="98" t="n">
        <x:f>IF(N21="DRAFT INCLUDE",MOD(COUNTIF($N$6:N21,"DRAFT INCLUDE")-1,'Decision Summary'!$B$12)+1,"")</x:f>
        <x:v>10</x:v>
      </x:c>
      <x:c r="R21" s="98" t="str">
        <x:v>PENDING</x:v>
      </x:c>
      <x:c r="S21" s="98" t="str"/>
      <x:c r="T21" s="98" t="str">
        <x:v>Ordinary EOA candidate; inclusion still depends on V1 deprecation, threshold policy and owner approval.</x:v>
      </x:c>
      <x:c r="U21" s="89" t="str">
        <x:v>https://etherscan.io/token/0x445d03f499f1c150615957bb87588fb465fc91cc#balances</x:v>
      </x:c>
      <x:c r="V21" s="89" t="b">
        <x:f>COUNTIF($C$6:$C$502,C21)&gt;1</x:f>
        <x:v>0</x:v>
      </x:c>
    </x:row>
    <x:row r="22">
      <x:c r="A22" s="89" t="n">
        <x:v>17</x:v>
      </x:c>
      <x:c r="B22" s="89" t="str">
        <x:v>v1-mainnet-0017</x:v>
      </x:c>
      <x:c r="C22" s="90" t="str">
        <x:v>0x7c83a7e99f039ee9a699c3d8f04906d373f5fc36</x:v>
      </x:c>
      <x:c r="D22" s="98" t="str"/>
      <x:c r="E22" s="98" t="str">
        <x:v>EOA_CANDIDATE</x:v>
      </x:c>
      <x:c r="F22" s="91" t="b">
        <x:v>0</x:v>
      </x:c>
      <x:c r="G22" s="89" t="n">
        <x:v>0</x:v>
      </x:c>
      <x:c r="H22" s="90" t="str">
        <x:v>66402948578945192</x:v>
      </x:c>
      <x:c r="I22" s="92" t="n">
        <x:v>66402.94857894519</x:v>
      </x:c>
      <x:c r="J22" s="92" t="str">
        <x:v>66402948578945192000000</x:v>
      </x:c>
      <x:c r="K22" s="92" t="n">
        <x:v>66402.94857894519</x:v>
      </x:c>
      <x:c r="L22" s="98" t="str">
        <x:v>PENDING_OWNER_ELIGIBILITY_APPROVAL</x:v>
      </x:c>
      <x:c r="M22" s="98" t="b">
        <x:f>IF(E22="EOA_CANDIDATE",I22&gt;='Decision Summary'!$B$11,FALSE)</x:f>
        <x:v>1</x:v>
      </x:c>
      <x:c r="N22" s="98" t="str">
        <x:f>IF(M22,"DRAFT INCLUDE","HOLD / EXCLUDE")</x:f>
        <x:v>DRAFT INCLUDE</x:v>
      </x:c>
      <x:c r="O22" s="101" t="str">
        <x:f>IF(M22,C22,"")</x:f>
        <x:v>0x7c83a7e99f039ee9a699c3d8f04906d373f5fc36</x:v>
      </x:c>
      <x:c r="P22" s="98" t="n">
        <x:f>IF(N22="DRAFT INCLUDE",ROUNDUP(COUNTIF($N$6:N22,"DRAFT INCLUDE")/'Decision Summary'!$B$12,0),"")</x:f>
        <x:v>1</x:v>
      </x:c>
      <x:c r="Q22" s="98" t="n">
        <x:f>IF(N22="DRAFT INCLUDE",MOD(COUNTIF($N$6:N22,"DRAFT INCLUDE")-1,'Decision Summary'!$B$12)+1,"")</x:f>
        <x:v>11</x:v>
      </x:c>
      <x:c r="R22" s="98" t="str">
        <x:v>PENDING</x:v>
      </x:c>
      <x:c r="S22" s="98" t="str"/>
      <x:c r="T22" s="98" t="str">
        <x:v>Ordinary EOA candidate; inclusion still depends on V1 deprecation, threshold policy and owner approval.</x:v>
      </x:c>
      <x:c r="U22" s="89" t="str">
        <x:v>https://etherscan.io/token/0x445d03f499f1c150615957bb87588fb465fc91cc#balances</x:v>
      </x:c>
      <x:c r="V22" s="89" t="b">
        <x:f>COUNTIF($C$6:$C$502,C22)&gt;1</x:f>
        <x:v>0</x:v>
      </x:c>
    </x:row>
    <x:row r="23">
      <x:c r="A23" s="89" t="n">
        <x:v>18</x:v>
      </x:c>
      <x:c r="B23" s="89" t="str">
        <x:v>v1-mainnet-0018</x:v>
      </x:c>
      <x:c r="C23" s="90" t="str">
        <x:v>0x219d05ac1ccff122495cfea25a8fc059e19fae94</x:v>
      </x:c>
      <x:c r="D23" s="98" t="str"/>
      <x:c r="E23" s="98" t="str">
        <x:v>EOA_CANDIDATE</x:v>
      </x:c>
      <x:c r="F23" s="91" t="b">
        <x:v>0</x:v>
      </x:c>
      <x:c r="G23" s="89" t="n">
        <x:v>0</x:v>
      </x:c>
      <x:c r="H23" s="90" t="str">
        <x:v>43116827566299812</x:v>
      </x:c>
      <x:c r="I23" s="92" t="n">
        <x:v>43116.82756629981</x:v>
      </x:c>
      <x:c r="J23" s="92" t="str">
        <x:v>43116827566299812000000</x:v>
      </x:c>
      <x:c r="K23" s="92" t="n">
        <x:v>43116.82756629981</x:v>
      </x:c>
      <x:c r="L23" s="98" t="str">
        <x:v>PENDING_OWNER_ELIGIBILITY_APPROVAL</x:v>
      </x:c>
      <x:c r="M23" s="98" t="b">
        <x:f>IF(E23="EOA_CANDIDATE",I23&gt;='Decision Summary'!$B$11,FALSE)</x:f>
        <x:v>1</x:v>
      </x:c>
      <x:c r="N23" s="98" t="str">
        <x:f>IF(M23,"DRAFT INCLUDE","HOLD / EXCLUDE")</x:f>
        <x:v>DRAFT INCLUDE</x:v>
      </x:c>
      <x:c r="O23" s="101" t="str">
        <x:f>IF(M23,C23,"")</x:f>
        <x:v>0x219d05ac1ccff122495cfea25a8fc059e19fae94</x:v>
      </x:c>
      <x:c r="P23" s="98" t="n">
        <x:f>IF(N23="DRAFT INCLUDE",ROUNDUP(COUNTIF($N$6:N23,"DRAFT INCLUDE")/'Decision Summary'!$B$12,0),"")</x:f>
        <x:v>1</x:v>
      </x:c>
      <x:c r="Q23" s="98" t="n">
        <x:f>IF(N23="DRAFT INCLUDE",MOD(COUNTIF($N$6:N23,"DRAFT INCLUDE")-1,'Decision Summary'!$B$12)+1,"")</x:f>
        <x:v>12</x:v>
      </x:c>
      <x:c r="R23" s="98" t="str">
        <x:v>PENDING</x:v>
      </x:c>
      <x:c r="S23" s="98" t="str"/>
      <x:c r="T23" s="98" t="str">
        <x:v>Ordinary EOA candidate; inclusion still depends on V1 deprecation, threshold policy and owner approval.</x:v>
      </x:c>
      <x:c r="U23" s="89" t="str">
        <x:v>https://etherscan.io/token/0x445d03f499f1c150615957bb87588fb465fc91cc#balances</x:v>
      </x:c>
      <x:c r="V23" s="89" t="b">
        <x:f>COUNTIF($C$6:$C$502,C23)&gt;1</x:f>
        <x:v>0</x:v>
      </x:c>
    </x:row>
    <x:row r="24">
      <x:c r="A24" s="89" t="n">
        <x:v>19</x:v>
      </x:c>
      <x:c r="B24" s="89" t="str">
        <x:v>v1-mainnet-0019</x:v>
      </x:c>
      <x:c r="C24" s="90" t="str">
        <x:v>0x5eeed48afb574271d5150aaaa254dc791a5d981a</x:v>
      </x:c>
      <x:c r="D24" s="98" t="str"/>
      <x:c r="E24" s="98" t="str">
        <x:v>EOA_CANDIDATE</x:v>
      </x:c>
      <x:c r="F24" s="91" t="b">
        <x:v>0</x:v>
      </x:c>
      <x:c r="G24" s="89" t="n">
        <x:v>0</x:v>
      </x:c>
      <x:c r="H24" s="90" t="str">
        <x:v>25620000000000000</x:v>
      </x:c>
      <x:c r="I24" s="92" t="n">
        <x:v>25620</x:v>
      </x:c>
      <x:c r="J24" s="92" t="str">
        <x:v>25620000000000000000000</x:v>
      </x:c>
      <x:c r="K24" s="92" t="n">
        <x:v>25620</x:v>
      </x:c>
      <x:c r="L24" s="98" t="str">
        <x:v>PENDING_OWNER_ELIGIBILITY_APPROVAL</x:v>
      </x:c>
      <x:c r="M24" s="98" t="b">
        <x:f>IF(E24="EOA_CANDIDATE",I24&gt;='Decision Summary'!$B$11,FALSE)</x:f>
        <x:v>1</x:v>
      </x:c>
      <x:c r="N24" s="98" t="str">
        <x:f>IF(M24,"DRAFT INCLUDE","HOLD / EXCLUDE")</x:f>
        <x:v>DRAFT INCLUDE</x:v>
      </x:c>
      <x:c r="O24" s="101" t="str">
        <x:f>IF(M24,C24,"")</x:f>
        <x:v>0x5eeed48afb574271d5150aaaa254dc791a5d981a</x:v>
      </x:c>
      <x:c r="P24" s="98" t="n">
        <x:f>IF(N24="DRAFT INCLUDE",ROUNDUP(COUNTIF($N$6:N24,"DRAFT INCLUDE")/'Decision Summary'!$B$12,0),"")</x:f>
        <x:v>1</x:v>
      </x:c>
      <x:c r="Q24" s="98" t="n">
        <x:f>IF(N24="DRAFT INCLUDE",MOD(COUNTIF($N$6:N24,"DRAFT INCLUDE")-1,'Decision Summary'!$B$12)+1,"")</x:f>
        <x:v>13</x:v>
      </x:c>
      <x:c r="R24" s="98" t="str">
        <x:v>PENDING</x:v>
      </x:c>
      <x:c r="S24" s="98" t="str"/>
      <x:c r="T24" s="98" t="str">
        <x:v>Ordinary EOA candidate; inclusion still depends on V1 deprecation, threshold policy and owner approval.</x:v>
      </x:c>
      <x:c r="U24" s="89" t="str">
        <x:v>https://etherscan.io/token/0x445d03f499f1c150615957bb87588fb465fc91cc#balances</x:v>
      </x:c>
      <x:c r="V24" s="89" t="b">
        <x:f>COUNTIF($C$6:$C$502,C24)&gt;1</x:f>
        <x:v>0</x:v>
      </x:c>
    </x:row>
    <x:row r="25">
      <x:c r="A25" s="89" t="n">
        <x:v>20</x:v>
      </x:c>
      <x:c r="B25" s="89" t="str">
        <x:v>v1-mainnet-0020</x:v>
      </x:c>
      <x:c r="C25" s="90" t="str">
        <x:v>0x7637b9b75f7036683dd92664bfd693401be04b67</x:v>
      </x:c>
      <x:c r="D25" s="98" t="str"/>
      <x:c r="E25" s="98" t="str">
        <x:v>EOA_CANDIDATE</x:v>
      </x:c>
      <x:c r="F25" s="91" t="b">
        <x:v>0</x:v>
      </x:c>
      <x:c r="G25" s="89" t="n">
        <x:v>0</x:v>
      </x:c>
      <x:c r="H25" s="90" t="str">
        <x:v>23000000000000000</x:v>
      </x:c>
      <x:c r="I25" s="92" t="n">
        <x:v>23000</x:v>
      </x:c>
      <x:c r="J25" s="92" t="str">
        <x:v>23000000000000000000000</x:v>
      </x:c>
      <x:c r="K25" s="92" t="n">
        <x:v>23000</x:v>
      </x:c>
      <x:c r="L25" s="98" t="str">
        <x:v>PENDING_OWNER_ELIGIBILITY_APPROVAL</x:v>
      </x:c>
      <x:c r="M25" s="98" t="b">
        <x:f>IF(E25="EOA_CANDIDATE",I25&gt;='Decision Summary'!$B$11,FALSE)</x:f>
        <x:v>1</x:v>
      </x:c>
      <x:c r="N25" s="98" t="str">
        <x:f>IF(M25,"DRAFT INCLUDE","HOLD / EXCLUDE")</x:f>
        <x:v>DRAFT INCLUDE</x:v>
      </x:c>
      <x:c r="O25" s="101" t="str">
        <x:f>IF(M25,C25,"")</x:f>
        <x:v>0x7637b9b75f7036683dd92664bfd693401be04b67</x:v>
      </x:c>
      <x:c r="P25" s="98" t="n">
        <x:f>IF(N25="DRAFT INCLUDE",ROUNDUP(COUNTIF($N$6:N25,"DRAFT INCLUDE")/'Decision Summary'!$B$12,0),"")</x:f>
        <x:v>1</x:v>
      </x:c>
      <x:c r="Q25" s="98" t="n">
        <x:f>IF(N25="DRAFT INCLUDE",MOD(COUNTIF($N$6:N25,"DRAFT INCLUDE")-1,'Decision Summary'!$B$12)+1,"")</x:f>
        <x:v>14</x:v>
      </x:c>
      <x:c r="R25" s="98" t="str">
        <x:v>PENDING</x:v>
      </x:c>
      <x:c r="S25" s="98" t="str"/>
      <x:c r="T25" s="98" t="str">
        <x:v>Ordinary EOA candidate; inclusion still depends on V1 deprecation, threshold policy and owner approval.</x:v>
      </x:c>
      <x:c r="U25" s="89" t="str">
        <x:v>https://etherscan.io/token/0x445d03f499f1c150615957bb87588fb465fc91cc#balances</x:v>
      </x:c>
      <x:c r="V25" s="89" t="b">
        <x:f>COUNTIF($C$6:$C$502,C25)&gt;1</x:f>
        <x:v>0</x:v>
      </x:c>
    </x:row>
    <x:row r="26">
      <x:c r="A26" s="89" t="n">
        <x:v>21</x:v>
      </x:c>
      <x:c r="B26" s="89" t="str">
        <x:v>v1-mainnet-0021</x:v>
      </x:c>
      <x:c r="C26" s="90" t="str">
        <x:v>0x2eed6597e3f4762b907e194a62ac678de1186120</x:v>
      </x:c>
      <x:c r="D26" s="98" t="str"/>
      <x:c r="E26" s="98" t="str">
        <x:v>EOA_CANDIDATE</x:v>
      </x:c>
      <x:c r="F26" s="91" t="b">
        <x:v>0</x:v>
      </x:c>
      <x:c r="G26" s="89" t="n">
        <x:v>0</x:v>
      </x:c>
      <x:c r="H26" s="90" t="str">
        <x:v>17725299374436916</x:v>
      </x:c>
      <x:c r="I26" s="92" t="n">
        <x:v>17725.299374436916</x:v>
      </x:c>
      <x:c r="J26" s="92" t="str">
        <x:v>17725299374436916000000</x:v>
      </x:c>
      <x:c r="K26" s="92" t="n">
        <x:v>17725.299374436916</x:v>
      </x:c>
      <x:c r="L26" s="98" t="str">
        <x:v>PENDING_OWNER_ELIGIBILITY_APPROVAL</x:v>
      </x:c>
      <x:c r="M26" s="98" t="b">
        <x:f>IF(E26="EOA_CANDIDATE",I26&gt;='Decision Summary'!$B$11,FALSE)</x:f>
        <x:v>1</x:v>
      </x:c>
      <x:c r="N26" s="98" t="str">
        <x:f>IF(M26,"DRAFT INCLUDE","HOLD / EXCLUDE")</x:f>
        <x:v>DRAFT INCLUDE</x:v>
      </x:c>
      <x:c r="O26" s="101" t="str">
        <x:f>IF(M26,C26,"")</x:f>
        <x:v>0x2eed6597e3f4762b907e194a62ac678de1186120</x:v>
      </x:c>
      <x:c r="P26" s="98" t="n">
        <x:f>IF(N26="DRAFT INCLUDE",ROUNDUP(COUNTIF($N$6:N26,"DRAFT INCLUDE")/'Decision Summary'!$B$12,0),"")</x:f>
        <x:v>1</x:v>
      </x:c>
      <x:c r="Q26" s="98" t="n">
        <x:f>IF(N26="DRAFT INCLUDE",MOD(COUNTIF($N$6:N26,"DRAFT INCLUDE")-1,'Decision Summary'!$B$12)+1,"")</x:f>
        <x:v>15</x:v>
      </x:c>
      <x:c r="R26" s="98" t="str">
        <x:v>PENDING</x:v>
      </x:c>
      <x:c r="S26" s="98" t="str"/>
      <x:c r="T26" s="98" t="str">
        <x:v>Ordinary EOA candidate; inclusion still depends on V1 deprecation, threshold policy and owner approval.</x:v>
      </x:c>
      <x:c r="U26" s="89" t="str">
        <x:v>https://etherscan.io/token/0x445d03f499f1c150615957bb87588fb465fc91cc#balances</x:v>
      </x:c>
      <x:c r="V26" s="89" t="b">
        <x:f>COUNTIF($C$6:$C$502,C26)&gt;1</x:f>
        <x:v>0</x:v>
      </x:c>
    </x:row>
    <x:row r="27">
      <x:c r="A27" s="89" t="n">
        <x:v>22</x:v>
      </x:c>
      <x:c r="B27" s="89" t="str">
        <x:v>v1-mainnet-0022</x:v>
      </x:c>
      <x:c r="C27" s="90" t="str">
        <x:v>0xaa41d96d5ca0a9e4a1537988469e918c620ae445</x:v>
      </x:c>
      <x:c r="D27" s="98" t="str"/>
      <x:c r="E27" s="98" t="str">
        <x:v>EOA_CANDIDATE</x:v>
      </x:c>
      <x:c r="F27" s="91" t="b">
        <x:v>0</x:v>
      </x:c>
      <x:c r="G27" s="89" t="n">
        <x:v>0</x:v>
      </x:c>
      <x:c r="H27" s="90" t="str">
        <x:v>7341061149199077</x:v>
      </x:c>
      <x:c r="I27" s="92" t="n">
        <x:v>7341.061149199077</x:v>
      </x:c>
      <x:c r="J27" s="92" t="str">
        <x:v>7341061149199077000000</x:v>
      </x:c>
      <x:c r="K27" s="92" t="n">
        <x:v>7341.061149199077</x:v>
      </x:c>
      <x:c r="L27" s="98" t="str">
        <x:v>PENDING_OWNER_ELIGIBILITY_APPROVAL</x:v>
      </x:c>
      <x:c r="M27" s="98" t="b">
        <x:f>IF(E27="EOA_CANDIDATE",I27&gt;='Decision Summary'!$B$11,FALSE)</x:f>
        <x:v>1</x:v>
      </x:c>
      <x:c r="N27" s="98" t="str">
        <x:f>IF(M27,"DRAFT INCLUDE","HOLD / EXCLUDE")</x:f>
        <x:v>DRAFT INCLUDE</x:v>
      </x:c>
      <x:c r="O27" s="101" t="str">
        <x:f>IF(M27,C27,"")</x:f>
        <x:v>0xaa41d96d5ca0a9e4a1537988469e918c620ae445</x:v>
      </x:c>
      <x:c r="P27" s="98" t="n">
        <x:f>IF(N27="DRAFT INCLUDE",ROUNDUP(COUNTIF($N$6:N27,"DRAFT INCLUDE")/'Decision Summary'!$B$12,0),"")</x:f>
        <x:v>1</x:v>
      </x:c>
      <x:c r="Q27" s="98" t="n">
        <x:f>IF(N27="DRAFT INCLUDE",MOD(COUNTIF($N$6:N27,"DRAFT INCLUDE")-1,'Decision Summary'!$B$12)+1,"")</x:f>
        <x:v>16</x:v>
      </x:c>
      <x:c r="R27" s="98" t="str">
        <x:v>PENDING</x:v>
      </x:c>
      <x:c r="S27" s="98" t="str"/>
      <x:c r="T27" s="98" t="str">
        <x:v>Ordinary EOA candidate; inclusion still depends on V1 deprecation, threshold policy and owner approval.</x:v>
      </x:c>
      <x:c r="U27" s="89" t="str">
        <x:v>https://etherscan.io/token/0x445d03f499f1c150615957bb87588fb465fc91cc#balances</x:v>
      </x:c>
      <x:c r="V27" s="89" t="b">
        <x:f>COUNTIF($C$6:$C$502,C27)&gt;1</x:f>
        <x:v>0</x:v>
      </x:c>
    </x:row>
    <x:row r="28">
      <x:c r="A28" s="89" t="n">
        <x:v>23</x:v>
      </x:c>
      <x:c r="B28" s="89" t="str">
        <x:v>v1-mainnet-0023</x:v>
      </x:c>
      <x:c r="C28" s="90" t="str">
        <x:v>0xda4368a900a6010493f30639c5f71ccb79ad53da</x:v>
      </x:c>
      <x:c r="D28" s="98" t="str"/>
      <x:c r="E28" s="98" t="str">
        <x:v>EOA_CANDIDATE</x:v>
      </x:c>
      <x:c r="F28" s="91" t="b">
        <x:v>0</x:v>
      </x:c>
      <x:c r="G28" s="89" t="n">
        <x:v>0</x:v>
      </x:c>
      <x:c r="H28" s="90" t="str">
        <x:v>4000000000000000</x:v>
      </x:c>
      <x:c r="I28" s="92" t="n">
        <x:v>4000</x:v>
      </x:c>
      <x:c r="J28" s="92" t="str">
        <x:v>4000000000000000000000</x:v>
      </x:c>
      <x:c r="K28" s="92" t="n">
        <x:v>4000</x:v>
      </x:c>
      <x:c r="L28" s="98" t="str">
        <x:v>PENDING_OWNER_ELIGIBILITY_APPROVAL</x:v>
      </x:c>
      <x:c r="M28" s="98" t="b">
        <x:f>IF(E28="EOA_CANDIDATE",I28&gt;='Decision Summary'!$B$11,FALSE)</x:f>
        <x:v>1</x:v>
      </x:c>
      <x:c r="N28" s="98" t="str">
        <x:f>IF(M28,"DRAFT INCLUDE","HOLD / EXCLUDE")</x:f>
        <x:v>DRAFT INCLUDE</x:v>
      </x:c>
      <x:c r="O28" s="101" t="str">
        <x:f>IF(M28,C28,"")</x:f>
        <x:v>0xda4368a900a6010493f30639c5f71ccb79ad53da</x:v>
      </x:c>
      <x:c r="P28" s="98" t="n">
        <x:f>IF(N28="DRAFT INCLUDE",ROUNDUP(COUNTIF($N$6:N28,"DRAFT INCLUDE")/'Decision Summary'!$B$12,0),"")</x:f>
        <x:v>1</x:v>
      </x:c>
      <x:c r="Q28" s="98" t="n">
        <x:f>IF(N28="DRAFT INCLUDE",MOD(COUNTIF($N$6:N28,"DRAFT INCLUDE")-1,'Decision Summary'!$B$12)+1,"")</x:f>
        <x:v>17</x:v>
      </x:c>
      <x:c r="R28" s="98" t="str">
        <x:v>PENDING</x:v>
      </x:c>
      <x:c r="S28" s="98" t="str"/>
      <x:c r="T28" s="98" t="str">
        <x:v>Ordinary EOA candidate; inclusion still depends on V1 deprecation, threshold policy and owner approval.</x:v>
      </x:c>
      <x:c r="U28" s="89" t="str">
        <x:v>https://etherscan.io/token/0x445d03f499f1c150615957bb87588fb465fc91cc#balances</x:v>
      </x:c>
      <x:c r="V28" s="89" t="b">
        <x:f>COUNTIF($C$6:$C$502,C28)&gt;1</x:f>
        <x:v>0</x:v>
      </x:c>
    </x:row>
    <x:row r="29">
      <x:c r="A29" s="89" t="n">
        <x:v>24</x:v>
      </x:c>
      <x:c r="B29" s="89" t="str">
        <x:v>v1-mainnet-0024</x:v>
      </x:c>
      <x:c r="C29" s="90" t="str">
        <x:v>0x5192f343e7d494d65d50c5c75ec185bf8ae26f85</x:v>
      </x:c>
      <x:c r="D29" s="98" t="str"/>
      <x:c r="E29" s="98" t="str">
        <x:v>EOA_CANDIDATE</x:v>
      </x:c>
      <x:c r="F29" s="91" t="b">
        <x:v>0</x:v>
      </x:c>
      <x:c r="G29" s="89" t="n">
        <x:v>0</x:v>
      </x:c>
      <x:c r="H29" s="90" t="str">
        <x:v>3818957837226085</x:v>
      </x:c>
      <x:c r="I29" s="92" t="n">
        <x:v>3818.957837226085</x:v>
      </x:c>
      <x:c r="J29" s="92" t="str">
        <x:v>3818957837226085000000</x:v>
      </x:c>
      <x:c r="K29" s="92" t="n">
        <x:v>3818.957837226085</x:v>
      </x:c>
      <x:c r="L29" s="98" t="str">
        <x:v>PENDING_OWNER_ELIGIBILITY_APPROVAL</x:v>
      </x:c>
      <x:c r="M29" s="98" t="b">
        <x:f>IF(E29="EOA_CANDIDATE",I29&gt;='Decision Summary'!$B$11,FALSE)</x:f>
        <x:v>1</x:v>
      </x:c>
      <x:c r="N29" s="98" t="str">
        <x:f>IF(M29,"DRAFT INCLUDE","HOLD / EXCLUDE")</x:f>
        <x:v>DRAFT INCLUDE</x:v>
      </x:c>
      <x:c r="O29" s="101" t="str">
        <x:f>IF(M29,C29,"")</x:f>
        <x:v>0x5192f343e7d494d65d50c5c75ec185bf8ae26f85</x:v>
      </x:c>
      <x:c r="P29" s="98" t="n">
        <x:f>IF(N29="DRAFT INCLUDE",ROUNDUP(COUNTIF($N$6:N29,"DRAFT INCLUDE")/'Decision Summary'!$B$12,0),"")</x:f>
        <x:v>1</x:v>
      </x:c>
      <x:c r="Q29" s="98" t="n">
        <x:f>IF(N29="DRAFT INCLUDE",MOD(COUNTIF($N$6:N29,"DRAFT INCLUDE")-1,'Decision Summary'!$B$12)+1,"")</x:f>
        <x:v>18</x:v>
      </x:c>
      <x:c r="R29" s="98" t="str">
        <x:v>PENDING</x:v>
      </x:c>
      <x:c r="S29" s="98" t="str"/>
      <x:c r="T29" s="98" t="str">
        <x:v>Ordinary EOA candidate; inclusion still depends on V1 deprecation, threshold policy and owner approval.</x:v>
      </x:c>
      <x:c r="U29" s="89" t="str">
        <x:v>https://etherscan.io/token/0x445d03f499f1c150615957bb87588fb465fc91cc#balances</x:v>
      </x:c>
      <x:c r="V29" s="89" t="b">
        <x:f>COUNTIF($C$6:$C$502,C29)&gt;1</x:f>
        <x:v>0</x:v>
      </x:c>
    </x:row>
    <x:row r="30">
      <x:c r="A30" s="89" t="n">
        <x:v>25</x:v>
      </x:c>
      <x:c r="B30" s="89" t="str">
        <x:v>v1-mainnet-0025</x:v>
      </x:c>
      <x:c r="C30" s="90" t="str">
        <x:v>0xcb17ea8c4b0f869d1a5837e6764b355f1dbb90cb</x:v>
      </x:c>
      <x:c r="D30" s="98" t="str"/>
      <x:c r="E30" s="98" t="str">
        <x:v>EOA_CANDIDATE</x:v>
      </x:c>
      <x:c r="F30" s="91" t="b">
        <x:v>0</x:v>
      </x:c>
      <x:c r="G30" s="89" t="n">
        <x:v>0</x:v>
      </x:c>
      <x:c r="H30" s="90" t="str">
        <x:v>3655622955813256</x:v>
      </x:c>
      <x:c r="I30" s="92" t="n">
        <x:v>3655.622955813256</x:v>
      </x:c>
      <x:c r="J30" s="92" t="str">
        <x:v>3655622955813256000000</x:v>
      </x:c>
      <x:c r="K30" s="92" t="n">
        <x:v>3655.622955813256</x:v>
      </x:c>
      <x:c r="L30" s="98" t="str">
        <x:v>PENDING_OWNER_ELIGIBILITY_APPROVAL</x:v>
      </x:c>
      <x:c r="M30" s="98" t="b">
        <x:f>IF(E30="EOA_CANDIDATE",I30&gt;='Decision Summary'!$B$11,FALSE)</x:f>
        <x:v>1</x:v>
      </x:c>
      <x:c r="N30" s="98" t="str">
        <x:f>IF(M30,"DRAFT INCLUDE","HOLD / EXCLUDE")</x:f>
        <x:v>DRAFT INCLUDE</x:v>
      </x:c>
      <x:c r="O30" s="101" t="str">
        <x:f>IF(M30,C30,"")</x:f>
        <x:v>0xcb17ea8c4b0f869d1a5837e6764b355f1dbb90cb</x:v>
      </x:c>
      <x:c r="P30" s="98" t="n">
        <x:f>IF(N30="DRAFT INCLUDE",ROUNDUP(COUNTIF($N$6:N30,"DRAFT INCLUDE")/'Decision Summary'!$B$12,0),"")</x:f>
        <x:v>1</x:v>
      </x:c>
      <x:c r="Q30" s="98" t="n">
        <x:f>IF(N30="DRAFT INCLUDE",MOD(COUNTIF($N$6:N30,"DRAFT INCLUDE")-1,'Decision Summary'!$B$12)+1,"")</x:f>
        <x:v>19</x:v>
      </x:c>
      <x:c r="R30" s="98" t="str">
        <x:v>PENDING</x:v>
      </x:c>
      <x:c r="S30" s="98" t="str"/>
      <x:c r="T30" s="98" t="str">
        <x:v>Ordinary EOA candidate; inclusion still depends on V1 deprecation, threshold policy and owner approval.</x:v>
      </x:c>
      <x:c r="U30" s="89" t="str">
        <x:v>https://etherscan.io/token/0x445d03f499f1c150615957bb87588fb465fc91cc#balances</x:v>
      </x:c>
      <x:c r="V30" s="89" t="b">
        <x:f>COUNTIF($C$6:$C$502,C30)&gt;1</x:f>
        <x:v>0</x:v>
      </x:c>
    </x:row>
    <x:row r="31">
      <x:c r="A31" s="89" t="n">
        <x:v>26</x:v>
      </x:c>
      <x:c r="B31" s="89" t="str">
        <x:v>v1-mainnet-0026</x:v>
      </x:c>
      <x:c r="C31" s="90" t="str">
        <x:v>0xf20fee5b0233c67c1377013937c893188f85e412</x:v>
      </x:c>
      <x:c r="D31" s="98" t="str"/>
      <x:c r="E31" s="98" t="str">
        <x:v>EOA_CANDIDATE</x:v>
      </x:c>
      <x:c r="F31" s="91" t="b">
        <x:v>0</x:v>
      </x:c>
      <x:c r="G31" s="89" t="n">
        <x:v>0</x:v>
      </x:c>
      <x:c r="H31" s="90" t="str">
        <x:v>3655622955813256</x:v>
      </x:c>
      <x:c r="I31" s="92" t="n">
        <x:v>3655.622955813256</x:v>
      </x:c>
      <x:c r="J31" s="92" t="str">
        <x:v>3655622955813256000000</x:v>
      </x:c>
      <x:c r="K31" s="92" t="n">
        <x:v>3655.622955813256</x:v>
      </x:c>
      <x:c r="L31" s="98" t="str">
        <x:v>PENDING_OWNER_ELIGIBILITY_APPROVAL</x:v>
      </x:c>
      <x:c r="M31" s="98" t="b">
        <x:f>IF(E31="EOA_CANDIDATE",I31&gt;='Decision Summary'!$B$11,FALSE)</x:f>
        <x:v>1</x:v>
      </x:c>
      <x:c r="N31" s="98" t="str">
        <x:f>IF(M31,"DRAFT INCLUDE","HOLD / EXCLUDE")</x:f>
        <x:v>DRAFT INCLUDE</x:v>
      </x:c>
      <x:c r="O31" s="101" t="str">
        <x:f>IF(M31,C31,"")</x:f>
        <x:v>0xf20fee5b0233c67c1377013937c893188f85e412</x:v>
      </x:c>
      <x:c r="P31" s="98" t="n">
        <x:f>IF(N31="DRAFT INCLUDE",ROUNDUP(COUNTIF($N$6:N31,"DRAFT INCLUDE")/'Decision Summary'!$B$12,0),"")</x:f>
        <x:v>1</x:v>
      </x:c>
      <x:c r="Q31" s="98" t="n">
        <x:f>IF(N31="DRAFT INCLUDE",MOD(COUNTIF($N$6:N31,"DRAFT INCLUDE")-1,'Decision Summary'!$B$12)+1,"")</x:f>
        <x:v>20</x:v>
      </x:c>
      <x:c r="R31" s="98" t="str">
        <x:v>PENDING</x:v>
      </x:c>
      <x:c r="S31" s="98" t="str"/>
      <x:c r="T31" s="98" t="str">
        <x:v>Ordinary EOA candidate; inclusion still depends on V1 deprecation, threshold policy and owner approval.</x:v>
      </x:c>
      <x:c r="U31" s="89" t="str">
        <x:v>https://etherscan.io/token/0x445d03f499f1c150615957bb87588fb465fc91cc#balances</x:v>
      </x:c>
      <x:c r="V31" s="89" t="b">
        <x:f>COUNTIF($C$6:$C$502,C31)&gt;1</x:f>
        <x:v>0</x:v>
      </x:c>
    </x:row>
    <x:row r="32">
      <x:c r="A32" s="89" t="n">
        <x:v>27</x:v>
      </x:c>
      <x:c r="B32" s="89" t="str">
        <x:v>v1-mainnet-0027</x:v>
      </x:c>
      <x:c r="C32" s="90" t="str">
        <x:v>0x7e77b27607f6736beb767078ca27c5249a1e37df</x:v>
      </x:c>
      <x:c r="D32" s="98" t="str"/>
      <x:c r="E32" s="98" t="str">
        <x:v>EOA_CANDIDATE</x:v>
      </x:c>
      <x:c r="F32" s="91" t="b">
        <x:v>0</x:v>
      </x:c>
      <x:c r="G32" s="89" t="n">
        <x:v>0</x:v>
      </x:c>
      <x:c r="H32" s="90" t="str">
        <x:v>3641569697193433</x:v>
      </x:c>
      <x:c r="I32" s="92" t="n">
        <x:v>3641.569697193433</x:v>
      </x:c>
      <x:c r="J32" s="92" t="str">
        <x:v>3641569697193433000000</x:v>
      </x:c>
      <x:c r="K32" s="92" t="n">
        <x:v>3641.569697193433</x:v>
      </x:c>
      <x:c r="L32" s="98" t="str">
        <x:v>PENDING_OWNER_ELIGIBILITY_APPROVAL</x:v>
      </x:c>
      <x:c r="M32" s="98" t="b">
        <x:f>IF(E32="EOA_CANDIDATE",I32&gt;='Decision Summary'!$B$11,FALSE)</x:f>
        <x:v>1</x:v>
      </x:c>
      <x:c r="N32" s="98" t="str">
        <x:f>IF(M32,"DRAFT INCLUDE","HOLD / EXCLUDE")</x:f>
        <x:v>DRAFT INCLUDE</x:v>
      </x:c>
      <x:c r="O32" s="101" t="str">
        <x:f>IF(M32,C32,"")</x:f>
        <x:v>0x7e77b27607f6736beb767078ca27c5249a1e37df</x:v>
      </x:c>
      <x:c r="P32" s="98" t="n">
        <x:f>IF(N32="DRAFT INCLUDE",ROUNDUP(COUNTIF($N$6:N32,"DRAFT INCLUDE")/'Decision Summary'!$B$12,0),"")</x:f>
        <x:v>2</x:v>
      </x:c>
      <x:c r="Q32" s="98" t="n">
        <x:f>IF(N32="DRAFT INCLUDE",MOD(COUNTIF($N$6:N32,"DRAFT INCLUDE")-1,'Decision Summary'!$B$12)+1,"")</x:f>
        <x:v>1</x:v>
      </x:c>
      <x:c r="R32" s="98" t="str">
        <x:v>PENDING</x:v>
      </x:c>
      <x:c r="S32" s="98" t="str"/>
      <x:c r="T32" s="98" t="str">
        <x:v>Ordinary EOA candidate; inclusion still depends on V1 deprecation, threshold policy and owner approval.</x:v>
      </x:c>
      <x:c r="U32" s="89" t="str">
        <x:v>https://etherscan.io/token/0x445d03f499f1c150615957bb87588fb465fc91cc#balances</x:v>
      </x:c>
      <x:c r="V32" s="89" t="b">
        <x:f>COUNTIF($C$6:$C$502,C32)&gt;1</x:f>
        <x:v>0</x:v>
      </x:c>
    </x:row>
    <x:row r="33">
      <x:c r="A33" s="89" t="n">
        <x:v>28</x:v>
      </x:c>
      <x:c r="B33" s="89" t="str">
        <x:v>v1-mainnet-0028</x:v>
      </x:c>
      <x:c r="C33" s="90" t="str">
        <x:v>0xb2c23eed316e7ee29a758dcc194616a03b5cbe57</x:v>
      </x:c>
      <x:c r="D33" s="98" t="str"/>
      <x:c r="E33" s="98" t="str">
        <x:v>EOA_CANDIDATE</x:v>
      </x:c>
      <x:c r="F33" s="91" t="b">
        <x:v>0</x:v>
      </x:c>
      <x:c r="G33" s="89" t="n">
        <x:v>0</x:v>
      </x:c>
      <x:c r="H33" s="90" t="str">
        <x:v>3619896252215723</x:v>
      </x:c>
      <x:c r="I33" s="92" t="n">
        <x:v>3619.896252215723</x:v>
      </x:c>
      <x:c r="J33" s="92" t="str">
        <x:v>3619896252215723000000</x:v>
      </x:c>
      <x:c r="K33" s="92" t="n">
        <x:v>3619.896252215723</x:v>
      </x:c>
      <x:c r="L33" s="98" t="str">
        <x:v>PENDING_OWNER_ELIGIBILITY_APPROVAL</x:v>
      </x:c>
      <x:c r="M33" s="98" t="b">
        <x:f>IF(E33="EOA_CANDIDATE",I33&gt;='Decision Summary'!$B$11,FALSE)</x:f>
        <x:v>1</x:v>
      </x:c>
      <x:c r="N33" s="98" t="str">
        <x:f>IF(M33,"DRAFT INCLUDE","HOLD / EXCLUDE")</x:f>
        <x:v>DRAFT INCLUDE</x:v>
      </x:c>
      <x:c r="O33" s="101" t="str">
        <x:f>IF(M33,C33,"")</x:f>
        <x:v>0xb2c23eed316e7ee29a758dcc194616a03b5cbe57</x:v>
      </x:c>
      <x:c r="P33" s="98" t="n">
        <x:f>IF(N33="DRAFT INCLUDE",ROUNDUP(COUNTIF($N$6:N33,"DRAFT INCLUDE")/'Decision Summary'!$B$12,0),"")</x:f>
        <x:v>2</x:v>
      </x:c>
      <x:c r="Q33" s="98" t="n">
        <x:f>IF(N33="DRAFT INCLUDE",MOD(COUNTIF($N$6:N33,"DRAFT INCLUDE")-1,'Decision Summary'!$B$12)+1,"")</x:f>
        <x:v>2</x:v>
      </x:c>
      <x:c r="R33" s="98" t="str">
        <x:v>PENDING</x:v>
      </x:c>
      <x:c r="S33" s="98" t="str"/>
      <x:c r="T33" s="98" t="str">
        <x:v>Ordinary EOA candidate; inclusion still depends on V1 deprecation, threshold policy and owner approval.</x:v>
      </x:c>
      <x:c r="U33" s="89" t="str">
        <x:v>https://etherscan.io/token/0x445d03f499f1c150615957bb87588fb465fc91cc#balances</x:v>
      </x:c>
      <x:c r="V33" s="89" t="b">
        <x:f>COUNTIF($C$6:$C$502,C33)&gt;1</x:f>
        <x:v>0</x:v>
      </x:c>
    </x:row>
    <x:row r="34">
      <x:c r="A34" s="89" t="n">
        <x:v>29</x:v>
      </x:c>
      <x:c r="B34" s="89" t="str">
        <x:v>v1-mainnet-0029</x:v>
      </x:c>
      <x:c r="C34" s="90" t="str">
        <x:v>0x92070978459b129f2a3c0206a7ce8ce1420dc241</x:v>
      </x:c>
      <x:c r="D34" s="98" t="str"/>
      <x:c r="E34" s="98" t="str">
        <x:v>EOA_CANDIDATE</x:v>
      </x:c>
      <x:c r="F34" s="91" t="b">
        <x:v>0</x:v>
      </x:c>
      <x:c r="G34" s="89" t="n">
        <x:v>0</x:v>
      </x:c>
      <x:c r="H34" s="90" t="str">
        <x:v>3499999993355773</x:v>
      </x:c>
      <x:c r="I34" s="92" t="n">
        <x:v>3499.999993355773</x:v>
      </x:c>
      <x:c r="J34" s="92" t="str">
        <x:v>3499999993355773000000</x:v>
      </x:c>
      <x:c r="K34" s="92" t="n">
        <x:v>3499.999993355773</x:v>
      </x:c>
      <x:c r="L34" s="98" t="str">
        <x:v>PENDING_OWNER_ELIGIBILITY_APPROVAL</x:v>
      </x:c>
      <x:c r="M34" s="98" t="b">
        <x:f>IF(E34="EOA_CANDIDATE",I34&gt;='Decision Summary'!$B$11,FALSE)</x:f>
        <x:v>1</x:v>
      </x:c>
      <x:c r="N34" s="98" t="str">
        <x:f>IF(M34,"DRAFT INCLUDE","HOLD / EXCLUDE")</x:f>
        <x:v>DRAFT INCLUDE</x:v>
      </x:c>
      <x:c r="O34" s="101" t="str">
        <x:f>IF(M34,C34,"")</x:f>
        <x:v>0x92070978459b129f2a3c0206a7ce8ce1420dc241</x:v>
      </x:c>
      <x:c r="P34" s="98" t="n">
        <x:f>IF(N34="DRAFT INCLUDE",ROUNDUP(COUNTIF($N$6:N34,"DRAFT INCLUDE")/'Decision Summary'!$B$12,0),"")</x:f>
        <x:v>2</x:v>
      </x:c>
      <x:c r="Q34" s="98" t="n">
        <x:f>IF(N34="DRAFT INCLUDE",MOD(COUNTIF($N$6:N34,"DRAFT INCLUDE")-1,'Decision Summary'!$B$12)+1,"")</x:f>
        <x:v>3</x:v>
      </x:c>
      <x:c r="R34" s="98" t="str">
        <x:v>PENDING</x:v>
      </x:c>
      <x:c r="S34" s="98" t="str"/>
      <x:c r="T34" s="98" t="str">
        <x:v>Ordinary EOA candidate; inclusion still depends on V1 deprecation, threshold policy and owner approval.</x:v>
      </x:c>
      <x:c r="U34" s="89" t="str">
        <x:v>https://etherscan.io/token/0x445d03f499f1c150615957bb87588fb465fc91cc#balances</x:v>
      </x:c>
      <x:c r="V34" s="89" t="b">
        <x:f>COUNTIF($C$6:$C$502,C34)&gt;1</x:f>
        <x:v>0</x:v>
      </x:c>
    </x:row>
    <x:row r="35">
      <x:c r="A35" s="89" t="n">
        <x:v>30</x:v>
      </x:c>
      <x:c r="B35" s="89" t="str">
        <x:v>v1-mainnet-0030</x:v>
      </x:c>
      <x:c r="C35" s="90" t="str">
        <x:v>0x1699520ace8741c9359126f3cecf5b800abe689f</x:v>
      </x:c>
      <x:c r="D35" s="98" t="str"/>
      <x:c r="E35" s="98" t="str">
        <x:v>EOA_CANDIDATE</x:v>
      </x:c>
      <x:c r="F35" s="91" t="b">
        <x:v>0</x:v>
      </x:c>
      <x:c r="G35" s="89" t="n">
        <x:v>0</x:v>
      </x:c>
      <x:c r="H35" s="90" t="str">
        <x:v>3000000000000000</x:v>
      </x:c>
      <x:c r="I35" s="92" t="n">
        <x:v>3000</x:v>
      </x:c>
      <x:c r="J35" s="92" t="str">
        <x:v>3000000000000000000000</x:v>
      </x:c>
      <x:c r="K35" s="92" t="n">
        <x:v>3000</x:v>
      </x:c>
      <x:c r="L35" s="98" t="str">
        <x:v>PENDING_OWNER_ELIGIBILITY_APPROVAL</x:v>
      </x:c>
      <x:c r="M35" s="98" t="b">
        <x:f>IF(E35="EOA_CANDIDATE",I35&gt;='Decision Summary'!$B$11,FALSE)</x:f>
        <x:v>1</x:v>
      </x:c>
      <x:c r="N35" s="98" t="str">
        <x:f>IF(M35,"DRAFT INCLUDE","HOLD / EXCLUDE")</x:f>
        <x:v>DRAFT INCLUDE</x:v>
      </x:c>
      <x:c r="O35" s="101" t="str">
        <x:f>IF(M35,C35,"")</x:f>
        <x:v>0x1699520ace8741c9359126f3cecf5b800abe689f</x:v>
      </x:c>
      <x:c r="P35" s="98" t="n">
        <x:f>IF(N35="DRAFT INCLUDE",ROUNDUP(COUNTIF($N$6:N35,"DRAFT INCLUDE")/'Decision Summary'!$B$12,0),"")</x:f>
        <x:v>2</x:v>
      </x:c>
      <x:c r="Q35" s="98" t="n">
        <x:f>IF(N35="DRAFT INCLUDE",MOD(COUNTIF($N$6:N35,"DRAFT INCLUDE")-1,'Decision Summary'!$B$12)+1,"")</x:f>
        <x:v>4</x:v>
      </x:c>
      <x:c r="R35" s="98" t="str">
        <x:v>PENDING</x:v>
      </x:c>
      <x:c r="S35" s="98" t="str"/>
      <x:c r="T35" s="98" t="str">
        <x:v>Ordinary EOA candidate; inclusion still depends on V1 deprecation, threshold policy and owner approval.</x:v>
      </x:c>
      <x:c r="U35" s="89" t="str">
        <x:v>https://etherscan.io/token/0x445d03f499f1c150615957bb87588fb465fc91cc#balances</x:v>
      </x:c>
      <x:c r="V35" s="89" t="b">
        <x:f>COUNTIF($C$6:$C$502,C35)&gt;1</x:f>
        <x:v>0</x:v>
      </x:c>
    </x:row>
    <x:row r="36">
      <x:c r="A36" s="89" t="n">
        <x:v>31</x:v>
      </x:c>
      <x:c r="B36" s="89" t="str">
        <x:v>v1-mainnet-0031</x:v>
      </x:c>
      <x:c r="C36" s="90" t="str">
        <x:v>0x2bd0dc9b2e0463b2bfd1dfd558b32e8a467967fa</x:v>
      </x:c>
      <x:c r="D36" s="98" t="str"/>
      <x:c r="E36" s="98" t="str">
        <x:v>EOA_CANDIDATE</x:v>
      </x:c>
      <x:c r="F36" s="91" t="b">
        <x:v>0</x:v>
      </x:c>
      <x:c r="G36" s="89" t="n">
        <x:v>0</x:v>
      </x:c>
      <x:c r="H36" s="90" t="str">
        <x:v>1400000000000000</x:v>
      </x:c>
      <x:c r="I36" s="92" t="n">
        <x:v>1400</x:v>
      </x:c>
      <x:c r="J36" s="92" t="str">
        <x:v>1400000000000000000000</x:v>
      </x:c>
      <x:c r="K36" s="92" t="n">
        <x:v>1400</x:v>
      </x:c>
      <x:c r="L36" s="98" t="str">
        <x:v>PENDING_OWNER_ELIGIBILITY_APPROVAL</x:v>
      </x:c>
      <x:c r="M36" s="98" t="b">
        <x:f>IF(E36="EOA_CANDIDATE",I36&gt;='Decision Summary'!$B$11,FALSE)</x:f>
        <x:v>1</x:v>
      </x:c>
      <x:c r="N36" s="98" t="str">
        <x:f>IF(M36,"DRAFT INCLUDE","HOLD / EXCLUDE")</x:f>
        <x:v>DRAFT INCLUDE</x:v>
      </x:c>
      <x:c r="O36" s="101" t="str">
        <x:f>IF(M36,C36,"")</x:f>
        <x:v>0x2bd0dc9b2e0463b2bfd1dfd558b32e8a467967fa</x:v>
      </x:c>
      <x:c r="P36" s="98" t="n">
        <x:f>IF(N36="DRAFT INCLUDE",ROUNDUP(COUNTIF($N$6:N36,"DRAFT INCLUDE")/'Decision Summary'!$B$12,0),"")</x:f>
        <x:v>2</x:v>
      </x:c>
      <x:c r="Q36" s="98" t="n">
        <x:f>IF(N36="DRAFT INCLUDE",MOD(COUNTIF($N$6:N36,"DRAFT INCLUDE")-1,'Decision Summary'!$B$12)+1,"")</x:f>
        <x:v>5</x:v>
      </x:c>
      <x:c r="R36" s="98" t="str">
        <x:v>PENDING</x:v>
      </x:c>
      <x:c r="S36" s="98" t="str"/>
      <x:c r="T36" s="98" t="str">
        <x:v>Ordinary EOA candidate; inclusion still depends on V1 deprecation, threshold policy and owner approval.</x:v>
      </x:c>
      <x:c r="U36" s="89" t="str">
        <x:v>https://etherscan.io/token/0x445d03f499f1c150615957bb87588fb465fc91cc#balances</x:v>
      </x:c>
      <x:c r="V36" s="89" t="b">
        <x:f>COUNTIF($C$6:$C$502,C36)&gt;1</x:f>
        <x:v>0</x:v>
      </x:c>
    </x:row>
    <x:row r="37">
      <x:c r="A37" s="89" t="n">
        <x:v>32</x:v>
      </x:c>
      <x:c r="B37" s="89" t="str">
        <x:v>v1-mainnet-0032</x:v>
      </x:c>
      <x:c r="C37" s="90" t="str">
        <x:v>0x0f99f38ddc828216b9d7ab3ecfe2509cd88507fd</x:v>
      </x:c>
      <x:c r="D37" s="98" t="str"/>
      <x:c r="E37" s="98" t="str">
        <x:v>EOA_CANDIDATE</x:v>
      </x:c>
      <x:c r="F37" s="91" t="b">
        <x:v>0</x:v>
      </x:c>
      <x:c r="G37" s="89" t="n">
        <x:v>0</x:v>
      </x:c>
      <x:c r="H37" s="90" t="str">
        <x:v>1000000000000000</x:v>
      </x:c>
      <x:c r="I37" s="92" t="n">
        <x:v>1000</x:v>
      </x:c>
      <x:c r="J37" s="92" t="str">
        <x:v>1000000000000000000000</x:v>
      </x:c>
      <x:c r="K37" s="92" t="n">
        <x:v>1000</x:v>
      </x:c>
      <x:c r="L37" s="98" t="str">
        <x:v>PENDING_OWNER_ELIGIBILITY_APPROVAL</x:v>
      </x:c>
      <x:c r="M37" s="98" t="b">
        <x:f>IF(E37="EOA_CANDIDATE",I37&gt;='Decision Summary'!$B$11,FALSE)</x:f>
        <x:v>1</x:v>
      </x:c>
      <x:c r="N37" s="98" t="str">
        <x:f>IF(M37,"DRAFT INCLUDE","HOLD / EXCLUDE")</x:f>
        <x:v>DRAFT INCLUDE</x:v>
      </x:c>
      <x:c r="O37" s="101" t="str">
        <x:f>IF(M37,C37,"")</x:f>
        <x:v>0x0f99f38ddc828216b9d7ab3ecfe2509cd88507fd</x:v>
      </x:c>
      <x:c r="P37" s="98" t="n">
        <x:f>IF(N37="DRAFT INCLUDE",ROUNDUP(COUNTIF($N$6:N37,"DRAFT INCLUDE")/'Decision Summary'!$B$12,0),"")</x:f>
        <x:v>2</x:v>
      </x:c>
      <x:c r="Q37" s="98" t="n">
        <x:f>IF(N37="DRAFT INCLUDE",MOD(COUNTIF($N$6:N37,"DRAFT INCLUDE")-1,'Decision Summary'!$B$12)+1,"")</x:f>
        <x:v>6</x:v>
      </x:c>
      <x:c r="R37" s="98" t="str">
        <x:v>PENDING</x:v>
      </x:c>
      <x:c r="S37" s="98" t="str"/>
      <x:c r="T37" s="98" t="str">
        <x:v>Ordinary EOA candidate; inclusion still depends on V1 deprecation, threshold policy and owner approval.</x:v>
      </x:c>
      <x:c r="U37" s="89" t="str">
        <x:v>https://etherscan.io/token/0x445d03f499f1c150615957bb87588fb465fc91cc#balances</x:v>
      </x:c>
      <x:c r="V37" s="89" t="b">
        <x:f>COUNTIF($C$6:$C$502,C37)&gt;1</x:f>
        <x:v>0</x:v>
      </x:c>
    </x:row>
    <x:row r="38">
      <x:c r="A38" s="89" t="n">
        <x:v>33</x:v>
      </x:c>
      <x:c r="B38" s="89" t="str">
        <x:v>v1-mainnet-0033</x:v>
      </x:c>
      <x:c r="C38" s="90" t="str">
        <x:v>0x88b3330389b3d947bf19fee07c3fec78f368f46f</x:v>
      </x:c>
      <x:c r="D38" s="98" t="str"/>
      <x:c r="E38" s="98" t="str">
        <x:v>EOA_CANDIDATE</x:v>
      </x:c>
      <x:c r="F38" s="91" t="b">
        <x:v>0</x:v>
      </x:c>
      <x:c r="G38" s="89" t="n">
        <x:v>0</x:v>
      </x:c>
      <x:c r="H38" s="90" t="str">
        <x:v>490000000000000</x:v>
      </x:c>
      <x:c r="I38" s="92" t="n">
        <x:v>490</x:v>
      </x:c>
      <x:c r="J38" s="92" t="str">
        <x:v>490000000000000000000</x:v>
      </x:c>
      <x:c r="K38" s="92" t="n">
        <x:v>490</x:v>
      </x:c>
      <x:c r="L38" s="98" t="str">
        <x:v>PENDING_OWNER_ELIGIBILITY_APPROVAL</x:v>
      </x:c>
      <x:c r="M38" s="98" t="b">
        <x:f>IF(E38="EOA_CANDIDATE",I38&gt;='Decision Summary'!$B$11,FALSE)</x:f>
        <x:v>0</x:v>
      </x:c>
      <x:c r="N38" s="98" t="str">
        <x:f>IF(M38,"DRAFT INCLUDE","HOLD / EXCLUDE")</x:f>
        <x:v>HOLD / EXCLUDE</x:v>
      </x:c>
      <x:c r="O38" s="101" t="str">
        <x:f>IF(M38,C38,"")</x:f>
      </x:c>
      <x:c r="P38" s="98" t="str">
        <x:f>IF(N38="DRAFT INCLUDE",ROUNDUP(COUNTIF($N$6:N38,"DRAFT INCLUDE")/'Decision Summary'!$B$12,0),"")</x:f>
      </x:c>
      <x:c r="Q38" s="98" t="str">
        <x:f>IF(N38="DRAFT INCLUDE",MOD(COUNTIF($N$6:N38,"DRAFT INCLUDE")-1,'Decision Summary'!$B$12)+1,"")</x:f>
      </x:c>
      <x:c r="R38" s="98" t="str">
        <x:v>PENDING</x:v>
      </x:c>
      <x:c r="S38" s="98" t="str"/>
      <x:c r="T38" s="98" t="str">
        <x:v>Ordinary EOA candidate; inclusion still depends on V1 deprecation, threshold policy and owner approval.</x:v>
      </x:c>
      <x:c r="U38" s="89" t="str">
        <x:v>https://etherscan.io/token/0x445d03f499f1c150615957bb87588fb465fc91cc#balances</x:v>
      </x:c>
      <x:c r="V38" s="89" t="b">
        <x:f>COUNTIF($C$6:$C$502,C38)&gt;1</x:f>
        <x:v>0</x:v>
      </x:c>
    </x:row>
    <x:row r="39">
      <x:c r="A39" s="89" t="n">
        <x:v>34</x:v>
      </x:c>
      <x:c r="B39" s="89" t="str">
        <x:v>v1-mainnet-0034</x:v>
      </x:c>
      <x:c r="C39" s="90" t="str">
        <x:v>0x29e7acb32b7c73bc0003b3e478eaba7c24acde7d</x:v>
      </x:c>
      <x:c r="D39" s="98" t="str">
        <x:v>Binance Dep: 0x29e7AcB32B7c73BC0003b3e478EABA7C24acDE7d</x:v>
      </x:c>
      <x:c r="E39" s="98" t="str">
        <x:v>CUSTODIAL_EXCHANGE_DEPOSIT</x:v>
      </x:c>
      <x:c r="F39" s="91" t="b">
        <x:v>0</x:v>
      </x:c>
      <x:c r="G39" s="89" t="n">
        <x:v>0</x:v>
      </x:c>
      <x:c r="H39" s="90" t="str">
        <x:v>473420370000000</x:v>
      </x:c>
      <x:c r="I39" s="92" t="n">
        <x:v>473.42037</x:v>
      </x:c>
      <x:c r="J39" s="92" t="str">
        <x:v>473420370000000000000</x:v>
      </x:c>
      <x:c r="K39" s="92" t="n">
        <x:v>473.42037</x:v>
      </x:c>
      <x:c r="L39" s="98" t="str">
        <x:v>HOLD_DESTINATION_PROOF_REQUIRED</x:v>
      </x:c>
      <x:c r="M39" s="98" t="b">
        <x:f>IF(E39="EOA_CANDIDATE",I39&gt;='Decision Summary'!$B$11,FALSE)</x:f>
        <x:v>0</x:v>
      </x:c>
      <x:c r="N39" s="98" t="str">
        <x:f>IF(M39,"DRAFT INCLUDE","HOLD / EXCLUDE")</x:f>
        <x:v>HOLD / EXCLUDE</x:v>
      </x:c>
      <x:c r="O39" s="101" t="str">
        <x:f>IF(M39,C39,"")</x:f>
      </x:c>
      <x:c r="P39" s="98" t="str">
        <x:f>IF(N39="DRAFT INCLUDE",ROUNDUP(COUNTIF($N$6:N39,"DRAFT INCLUDE")/'Decision Summary'!$B$12,0),"")</x:f>
      </x:c>
      <x:c r="Q39" s="98" t="str">
        <x:f>IF(N39="DRAFT INCLUDE",MOD(COUNTIF($N$6:N39,"DRAFT INCLUDE")-1,'Decision Summary'!$B$12)+1,"")</x:f>
      </x:c>
      <x:c r="R39" s="98" t="str">
        <x:v>PENDING</x:v>
      </x:c>
      <x:c r="S39" s="98" t="str"/>
      <x:c r="T39" s="98" t="str">
        <x:v>Exchange deposit addresses must not receive V2 without a signed alternate-destination instruction and custody review.</x:v>
      </x:c>
      <x:c r="U39" s="89" t="str">
        <x:v>https://etherscan.io/token/0x445d03f499f1c150615957bb87588fb465fc91cc#balances</x:v>
      </x:c>
      <x:c r="V39" s="89" t="b">
        <x:f>COUNTIF($C$6:$C$502,C39)&gt;1</x:f>
        <x:v>0</x:v>
      </x:c>
    </x:row>
    <x:row r="40">
      <x:c r="A40" s="89" t="n">
        <x:v>35</x:v>
      </x:c>
      <x:c r="B40" s="89" t="str">
        <x:v>v1-mainnet-0035</x:v>
      </x:c>
      <x:c r="C40" s="90" t="str">
        <x:v>0xa3fe833d4b291f1c736af7627c7ee776d2ebd969</x:v>
      </x:c>
      <x:c r="D40" s="98" t="str"/>
      <x:c r="E40" s="98" t="str">
        <x:v>EOA_CANDIDATE</x:v>
      </x:c>
      <x:c r="F40" s="91" t="b">
        <x:v>0</x:v>
      </x:c>
      <x:c r="G40" s="89" t="n">
        <x:v>0</x:v>
      </x:c>
      <x:c r="H40" s="90" t="str">
        <x:v>427829261868154</x:v>
      </x:c>
      <x:c r="I40" s="92" t="n">
        <x:v>427.829261868154</x:v>
      </x:c>
      <x:c r="J40" s="92" t="str">
        <x:v>427829261868154000000</x:v>
      </x:c>
      <x:c r="K40" s="92" t="n">
        <x:v>427.829261868154</x:v>
      </x:c>
      <x:c r="L40" s="98" t="str">
        <x:v>PENDING_OWNER_ELIGIBILITY_APPROVAL</x:v>
      </x:c>
      <x:c r="M40" s="98" t="b">
        <x:f>IF(E40="EOA_CANDIDATE",I40&gt;='Decision Summary'!$B$11,FALSE)</x:f>
        <x:v>0</x:v>
      </x:c>
      <x:c r="N40" s="98" t="str">
        <x:f>IF(M40,"DRAFT INCLUDE","HOLD / EXCLUDE")</x:f>
        <x:v>HOLD / EXCLUDE</x:v>
      </x:c>
      <x:c r="O40" s="101" t="str">
        <x:f>IF(M40,C40,"")</x:f>
      </x:c>
      <x:c r="P40" s="98" t="str">
        <x:f>IF(N40="DRAFT INCLUDE",ROUNDUP(COUNTIF($N$6:N40,"DRAFT INCLUDE")/'Decision Summary'!$B$12,0),"")</x:f>
      </x:c>
      <x:c r="Q40" s="98" t="str">
        <x:f>IF(N40="DRAFT INCLUDE",MOD(COUNTIF($N$6:N40,"DRAFT INCLUDE")-1,'Decision Summary'!$B$12)+1,"")</x:f>
      </x:c>
      <x:c r="R40" s="98" t="str">
        <x:v>PENDING</x:v>
      </x:c>
      <x:c r="S40" s="98" t="str"/>
      <x:c r="T40" s="98" t="str">
        <x:v>Ordinary EOA candidate; inclusion still depends on V1 deprecation, threshold policy and owner approval.</x:v>
      </x:c>
      <x:c r="U40" s="89" t="str">
        <x:v>https://etherscan.io/token/0x445d03f499f1c150615957bb87588fb465fc91cc#balances</x:v>
      </x:c>
      <x:c r="V40" s="89" t="b">
        <x:f>COUNTIF($C$6:$C$502,C40)&gt;1</x:f>
        <x:v>0</x:v>
      </x:c>
    </x:row>
    <x:row r="41">
      <x:c r="A41" s="89" t="n">
        <x:v>36</x:v>
      </x:c>
      <x:c r="B41" s="89" t="str">
        <x:v>v1-mainnet-0036</x:v>
      </x:c>
      <x:c r="C41" s="90" t="str">
        <x:v>0x6e68f113f52f11bcd3016e52e33b94a70b0229b1</x:v>
      </x:c>
      <x:c r="D41" s="98" t="str"/>
      <x:c r="E41" s="98" t="str">
        <x:v>EOA_CANDIDATE</x:v>
      </x:c>
      <x:c r="F41" s="91" t="b">
        <x:v>0</x:v>
      </x:c>
      <x:c r="G41" s="89" t="n">
        <x:v>0</x:v>
      </x:c>
      <x:c r="H41" s="90" t="str">
        <x:v>420000000000000</x:v>
      </x:c>
      <x:c r="I41" s="92" t="n">
        <x:v>420</x:v>
      </x:c>
      <x:c r="J41" s="92" t="str">
        <x:v>420000000000000000000</x:v>
      </x:c>
      <x:c r="K41" s="92" t="n">
        <x:v>420</x:v>
      </x:c>
      <x:c r="L41" s="98" t="str">
        <x:v>PENDING_OWNER_ELIGIBILITY_APPROVAL</x:v>
      </x:c>
      <x:c r="M41" s="98" t="b">
        <x:f>IF(E41="EOA_CANDIDATE",I41&gt;='Decision Summary'!$B$11,FALSE)</x:f>
        <x:v>0</x:v>
      </x:c>
      <x:c r="N41" s="98" t="str">
        <x:f>IF(M41,"DRAFT INCLUDE","HOLD / EXCLUDE")</x:f>
        <x:v>HOLD / EXCLUDE</x:v>
      </x:c>
      <x:c r="O41" s="101" t="str">
        <x:f>IF(M41,C41,"")</x:f>
      </x:c>
      <x:c r="P41" s="98" t="str">
        <x:f>IF(N41="DRAFT INCLUDE",ROUNDUP(COUNTIF($N$6:N41,"DRAFT INCLUDE")/'Decision Summary'!$B$12,0),"")</x:f>
      </x:c>
      <x:c r="Q41" s="98" t="str">
        <x:f>IF(N41="DRAFT INCLUDE",MOD(COUNTIF($N$6:N41,"DRAFT INCLUDE")-1,'Decision Summary'!$B$12)+1,"")</x:f>
      </x:c>
      <x:c r="R41" s="98" t="str">
        <x:v>PENDING</x:v>
      </x:c>
      <x:c r="S41" s="98" t="str"/>
      <x:c r="T41" s="98" t="str">
        <x:v>Ordinary EOA candidate; inclusion still depends on V1 deprecation, threshold policy and owner approval.</x:v>
      </x:c>
      <x:c r="U41" s="89" t="str">
        <x:v>https://etherscan.io/token/0x445d03f499f1c150615957bb87588fb465fc91cc#balances</x:v>
      </x:c>
      <x:c r="V41" s="89" t="b">
        <x:f>COUNTIF($C$6:$C$502,C41)&gt;1</x:f>
        <x:v>0</x:v>
      </x:c>
    </x:row>
    <x:row r="42">
      <x:c r="A42" s="89" t="n">
        <x:v>37</x:v>
      </x:c>
      <x:c r="B42" s="89" t="str">
        <x:v>v1-mainnet-0037</x:v>
      </x:c>
      <x:c r="C42" s="90" t="str">
        <x:v>0x111e50b9dd01013c73dc76c5b383d0114099fac5</x:v>
      </x:c>
      <x:c r="D42" s="98" t="str"/>
      <x:c r="E42" s="98" t="str">
        <x:v>EOA_CANDIDATE</x:v>
      </x:c>
      <x:c r="F42" s="91" t="b">
        <x:v>0</x:v>
      </x:c>
      <x:c r="G42" s="89" t="n">
        <x:v>0</x:v>
      </x:c>
      <x:c r="H42" s="90" t="str">
        <x:v>385000000000000</x:v>
      </x:c>
      <x:c r="I42" s="92" t="n">
        <x:v>385</x:v>
      </x:c>
      <x:c r="J42" s="92" t="str">
        <x:v>385000000000000000000</x:v>
      </x:c>
      <x:c r="K42" s="92" t="n">
        <x:v>385</x:v>
      </x:c>
      <x:c r="L42" s="98" t="str">
        <x:v>PENDING_OWNER_ELIGIBILITY_APPROVAL</x:v>
      </x:c>
      <x:c r="M42" s="98" t="b">
        <x:f>IF(E42="EOA_CANDIDATE",I42&gt;='Decision Summary'!$B$11,FALSE)</x:f>
        <x:v>0</x:v>
      </x:c>
      <x:c r="N42" s="98" t="str">
        <x:f>IF(M42,"DRAFT INCLUDE","HOLD / EXCLUDE")</x:f>
        <x:v>HOLD / EXCLUDE</x:v>
      </x:c>
      <x:c r="O42" s="101" t="str">
        <x:f>IF(M42,C42,"")</x:f>
      </x:c>
      <x:c r="P42" s="98" t="str">
        <x:f>IF(N42="DRAFT INCLUDE",ROUNDUP(COUNTIF($N$6:N42,"DRAFT INCLUDE")/'Decision Summary'!$B$12,0),"")</x:f>
      </x:c>
      <x:c r="Q42" s="98" t="str">
        <x:f>IF(N42="DRAFT INCLUDE",MOD(COUNTIF($N$6:N42,"DRAFT INCLUDE")-1,'Decision Summary'!$B$12)+1,"")</x:f>
      </x:c>
      <x:c r="R42" s="98" t="str">
        <x:v>PENDING</x:v>
      </x:c>
      <x:c r="S42" s="98" t="str"/>
      <x:c r="T42" s="98" t="str">
        <x:v>Ordinary EOA candidate; inclusion still depends on V1 deprecation, threshold policy and owner approval.</x:v>
      </x:c>
      <x:c r="U42" s="89" t="str">
        <x:v>https://etherscan.io/token/0x445d03f499f1c150615957bb87588fb465fc91cc#balances</x:v>
      </x:c>
      <x:c r="V42" s="89" t="b">
        <x:f>COUNTIF($C$6:$C$502,C42)&gt;1</x:f>
        <x:v>0</x:v>
      </x:c>
    </x:row>
    <x:row r="43">
      <x:c r="A43" s="89" t="n">
        <x:v>38</x:v>
      </x:c>
      <x:c r="B43" s="89" t="str">
        <x:v>v1-mainnet-0038</x:v>
      </x:c>
      <x:c r="C43" s="90" t="str">
        <x:v>0x53bf118dacbbeb1ca56b2a2dce61e9b9cd3985e0</x:v>
      </x:c>
      <x:c r="D43" s="98" t="str"/>
      <x:c r="E43" s="98" t="str">
        <x:v>EOA_CANDIDATE</x:v>
      </x:c>
      <x:c r="F43" s="91" t="b">
        <x:v>0</x:v>
      </x:c>
      <x:c r="G43" s="89" t="n">
        <x:v>0</x:v>
      </x:c>
      <x:c r="H43" s="90" t="str">
        <x:v>340000000000000</x:v>
      </x:c>
      <x:c r="I43" s="92" t="n">
        <x:v>340</x:v>
      </x:c>
      <x:c r="J43" s="92" t="str">
        <x:v>340000000000000000000</x:v>
      </x:c>
      <x:c r="K43" s="92" t="n">
        <x:v>340</x:v>
      </x:c>
      <x:c r="L43" s="98" t="str">
        <x:v>PENDING_OWNER_ELIGIBILITY_APPROVAL</x:v>
      </x:c>
      <x:c r="M43" s="98" t="b">
        <x:f>IF(E43="EOA_CANDIDATE",I43&gt;='Decision Summary'!$B$11,FALSE)</x:f>
        <x:v>0</x:v>
      </x:c>
      <x:c r="N43" s="98" t="str">
        <x:f>IF(M43,"DRAFT INCLUDE","HOLD / EXCLUDE")</x:f>
        <x:v>HOLD / EXCLUDE</x:v>
      </x:c>
      <x:c r="O43" s="101" t="str">
        <x:f>IF(M43,C43,"")</x:f>
      </x:c>
      <x:c r="P43" s="98" t="str">
        <x:f>IF(N43="DRAFT INCLUDE",ROUNDUP(COUNTIF($N$6:N43,"DRAFT INCLUDE")/'Decision Summary'!$B$12,0),"")</x:f>
      </x:c>
      <x:c r="Q43" s="98" t="str">
        <x:f>IF(N43="DRAFT INCLUDE",MOD(COUNTIF($N$6:N43,"DRAFT INCLUDE")-1,'Decision Summary'!$B$12)+1,"")</x:f>
      </x:c>
      <x:c r="R43" s="98" t="str">
        <x:v>PENDING</x:v>
      </x:c>
      <x:c r="S43" s="98" t="str"/>
      <x:c r="T43" s="98" t="str">
        <x:v>Ordinary EOA candidate; inclusion still depends on V1 deprecation, threshold policy and owner approval.</x:v>
      </x:c>
      <x:c r="U43" s="89" t="str">
        <x:v>https://etherscan.io/token/0x445d03f499f1c150615957bb87588fb465fc91cc#balances</x:v>
      </x:c>
      <x:c r="V43" s="89" t="b">
        <x:f>COUNTIF($C$6:$C$502,C43)&gt;1</x:f>
        <x:v>0</x:v>
      </x:c>
    </x:row>
    <x:row r="44">
      <x:c r="A44" s="89" t="n">
        <x:v>39</x:v>
      </x:c>
      <x:c r="B44" s="89" t="str">
        <x:v>v1-mainnet-0039</x:v>
      </x:c>
      <x:c r="C44" s="90" t="str">
        <x:v>0x8af47390236581ee6ec2f2fa2517da590e5e14a8</x:v>
      </x:c>
      <x:c r="D44" s="98" t="str"/>
      <x:c r="E44" s="98" t="str">
        <x:v>EOA_CANDIDATE</x:v>
      </x:c>
      <x:c r="F44" s="91" t="b">
        <x:v>0</x:v>
      </x:c>
      <x:c r="G44" s="89" t="n">
        <x:v>0</x:v>
      </x:c>
      <x:c r="H44" s="90" t="str">
        <x:v>329014734675135</x:v>
      </x:c>
      <x:c r="I44" s="92" t="n">
        <x:v>329.014734675135</x:v>
      </x:c>
      <x:c r="J44" s="92" t="str">
        <x:v>329014734675135000000</x:v>
      </x:c>
      <x:c r="K44" s="92" t="n">
        <x:v>329.014734675135</x:v>
      </x:c>
      <x:c r="L44" s="98" t="str">
        <x:v>PENDING_OWNER_ELIGIBILITY_APPROVAL</x:v>
      </x:c>
      <x:c r="M44" s="98" t="b">
        <x:f>IF(E44="EOA_CANDIDATE",I44&gt;='Decision Summary'!$B$11,FALSE)</x:f>
        <x:v>0</x:v>
      </x:c>
      <x:c r="N44" s="98" t="str">
        <x:f>IF(M44,"DRAFT INCLUDE","HOLD / EXCLUDE")</x:f>
        <x:v>HOLD / EXCLUDE</x:v>
      </x:c>
      <x:c r="O44" s="101" t="str">
        <x:f>IF(M44,C44,"")</x:f>
      </x:c>
      <x:c r="P44" s="98" t="str">
        <x:f>IF(N44="DRAFT INCLUDE",ROUNDUP(COUNTIF($N$6:N44,"DRAFT INCLUDE")/'Decision Summary'!$B$12,0),"")</x:f>
      </x:c>
      <x:c r="Q44" s="98" t="str">
        <x:f>IF(N44="DRAFT INCLUDE",MOD(COUNTIF($N$6:N44,"DRAFT INCLUDE")-1,'Decision Summary'!$B$12)+1,"")</x:f>
      </x:c>
      <x:c r="R44" s="98" t="str">
        <x:v>PENDING</x:v>
      </x:c>
      <x:c r="S44" s="98" t="str"/>
      <x:c r="T44" s="98" t="str">
        <x:v>Ordinary EOA candidate; inclusion still depends on V1 deprecation, threshold policy and owner approval.</x:v>
      </x:c>
      <x:c r="U44" s="89" t="str">
        <x:v>https://etherscan.io/token/0x445d03f499f1c150615957bb87588fb465fc91cc#balances</x:v>
      </x:c>
      <x:c r="V44" s="89" t="b">
        <x:f>COUNTIF($C$6:$C$502,C44)&gt;1</x:f>
        <x:v>0</x:v>
      </x:c>
    </x:row>
    <x:row r="45">
      <x:c r="A45" s="89" t="n">
        <x:v>40</x:v>
      </x:c>
      <x:c r="B45" s="89" t="str">
        <x:v>v1-mainnet-0040</x:v>
      </x:c>
      <x:c r="C45" s="90" t="str">
        <x:v>0x1d6159c927a6df83fe6a5f18fb315240cfedcfb7</x:v>
      </x:c>
      <x:c r="D45" s="98" t="str"/>
      <x:c r="E45" s="98" t="str">
        <x:v>EOA_CANDIDATE</x:v>
      </x:c>
      <x:c r="F45" s="91" t="b">
        <x:v>0</x:v>
      </x:c>
      <x:c r="G45" s="89" t="n">
        <x:v>0</x:v>
      </x:c>
      <x:c r="H45" s="90" t="str">
        <x:v>312713440000000</x:v>
      </x:c>
      <x:c r="I45" s="92" t="n">
        <x:v>312.71344</x:v>
      </x:c>
      <x:c r="J45" s="92" t="str">
        <x:v>312713440000000000000</x:v>
      </x:c>
      <x:c r="K45" s="92" t="n">
        <x:v>312.71344</x:v>
      </x:c>
      <x:c r="L45" s="98" t="str">
        <x:v>PENDING_OWNER_ELIGIBILITY_APPROVAL</x:v>
      </x:c>
      <x:c r="M45" s="98" t="b">
        <x:f>IF(E45="EOA_CANDIDATE",I45&gt;='Decision Summary'!$B$11,FALSE)</x:f>
        <x:v>0</x:v>
      </x:c>
      <x:c r="N45" s="98" t="str">
        <x:f>IF(M45,"DRAFT INCLUDE","HOLD / EXCLUDE")</x:f>
        <x:v>HOLD / EXCLUDE</x:v>
      </x:c>
      <x:c r="O45" s="101" t="str">
        <x:f>IF(M45,C45,"")</x:f>
      </x:c>
      <x:c r="P45" s="98" t="str">
        <x:f>IF(N45="DRAFT INCLUDE",ROUNDUP(COUNTIF($N$6:N45,"DRAFT INCLUDE")/'Decision Summary'!$B$12,0),"")</x:f>
      </x:c>
      <x:c r="Q45" s="98" t="str">
        <x:f>IF(N45="DRAFT INCLUDE",MOD(COUNTIF($N$6:N45,"DRAFT INCLUDE")-1,'Decision Summary'!$B$12)+1,"")</x:f>
      </x:c>
      <x:c r="R45" s="98" t="str">
        <x:v>PENDING</x:v>
      </x:c>
      <x:c r="S45" s="98" t="str"/>
      <x:c r="T45" s="98" t="str">
        <x:v>Ordinary EOA candidate; inclusion still depends on V1 deprecation, threshold policy and owner approval.</x:v>
      </x:c>
      <x:c r="U45" s="89" t="str">
        <x:v>https://etherscan.io/token/0x445d03f499f1c150615957bb87588fb465fc91cc#balances</x:v>
      </x:c>
      <x:c r="V45" s="89" t="b">
        <x:f>COUNTIF($C$6:$C$502,C45)&gt;1</x:f>
        <x:v>0</x:v>
      </x:c>
    </x:row>
    <x:row r="46">
      <x:c r="A46" s="89" t="n">
        <x:v>41</x:v>
      </x:c>
      <x:c r="B46" s="89" t="str">
        <x:v>v1-mainnet-0041</x:v>
      </x:c>
      <x:c r="C46" s="90" t="str">
        <x:v>0x9d15dc943d45372ce23b6f74220c2e625cd6fa40</x:v>
      </x:c>
      <x:c r="D46" s="98" t="str"/>
      <x:c r="E46" s="98" t="str">
        <x:v>EOA_CANDIDATE</x:v>
      </x:c>
      <x:c r="F46" s="91" t="b">
        <x:v>0</x:v>
      </x:c>
      <x:c r="G46" s="89" t="n">
        <x:v>0</x:v>
      </x:c>
      <x:c r="H46" s="90" t="str">
        <x:v>253195460000000</x:v>
      </x:c>
      <x:c r="I46" s="92" t="n">
        <x:v>253.19546</x:v>
      </x:c>
      <x:c r="J46" s="92" t="str">
        <x:v>253195460000000000000</x:v>
      </x:c>
      <x:c r="K46" s="92" t="n">
        <x:v>253.19546</x:v>
      </x:c>
      <x:c r="L46" s="98" t="str">
        <x:v>PENDING_OWNER_ELIGIBILITY_APPROVAL</x:v>
      </x:c>
      <x:c r="M46" s="98" t="b">
        <x:f>IF(E46="EOA_CANDIDATE",I46&gt;='Decision Summary'!$B$11,FALSE)</x:f>
        <x:v>0</x:v>
      </x:c>
      <x:c r="N46" s="98" t="str">
        <x:f>IF(M46,"DRAFT INCLUDE","HOLD / EXCLUDE")</x:f>
        <x:v>HOLD / EXCLUDE</x:v>
      </x:c>
      <x:c r="O46" s="101" t="str">
        <x:f>IF(M46,C46,"")</x:f>
      </x:c>
      <x:c r="P46" s="98" t="str">
        <x:f>IF(N46="DRAFT INCLUDE",ROUNDUP(COUNTIF($N$6:N46,"DRAFT INCLUDE")/'Decision Summary'!$B$12,0),"")</x:f>
      </x:c>
      <x:c r="Q46" s="98" t="str">
        <x:f>IF(N46="DRAFT INCLUDE",MOD(COUNTIF($N$6:N46,"DRAFT INCLUDE")-1,'Decision Summary'!$B$12)+1,"")</x:f>
      </x:c>
      <x:c r="R46" s="98" t="str">
        <x:v>PENDING</x:v>
      </x:c>
      <x:c r="S46" s="98" t="str"/>
      <x:c r="T46" s="98" t="str">
        <x:v>Ordinary EOA candidate; inclusion still depends on V1 deprecation, threshold policy and owner approval.</x:v>
      </x:c>
      <x:c r="U46" s="89" t="str">
        <x:v>https://etherscan.io/token/0x445d03f499f1c150615957bb87588fb465fc91cc#balances</x:v>
      </x:c>
      <x:c r="V46" s="89" t="b">
        <x:f>COUNTIF($C$6:$C$502,C46)&gt;1</x:f>
        <x:v>0</x:v>
      </x:c>
    </x:row>
    <x:row r="47">
      <x:c r="A47" s="89" t="n">
        <x:v>42</x:v>
      </x:c>
      <x:c r="B47" s="89" t="str">
        <x:v>v1-mainnet-0042</x:v>
      </x:c>
      <x:c r="C47" s="90" t="str">
        <x:v>0x1a6b38d4d76ee25407d77e2b4d7f1ca2ec3f6594</x:v>
      </x:c>
      <x:c r="D47" s="98" t="str"/>
      <x:c r="E47" s="98" t="str">
        <x:v>EOA_CANDIDATE</x:v>
      </x:c>
      <x:c r="F47" s="91" t="b">
        <x:v>0</x:v>
      </x:c>
      <x:c r="G47" s="89" t="n">
        <x:v>0</x:v>
      </x:c>
      <x:c r="H47" s="90" t="str">
        <x:v>221544075985777</x:v>
      </x:c>
      <x:c r="I47" s="92" t="n">
        <x:v>221.544075985777</x:v>
      </x:c>
      <x:c r="J47" s="92" t="str">
        <x:v>221544075985777000000</x:v>
      </x:c>
      <x:c r="K47" s="92" t="n">
        <x:v>221.544075985777</x:v>
      </x:c>
      <x:c r="L47" s="98" t="str">
        <x:v>PENDING_OWNER_ELIGIBILITY_APPROVAL</x:v>
      </x:c>
      <x:c r="M47" s="98" t="b">
        <x:f>IF(E47="EOA_CANDIDATE",I47&gt;='Decision Summary'!$B$11,FALSE)</x:f>
        <x:v>0</x:v>
      </x:c>
      <x:c r="N47" s="98" t="str">
        <x:f>IF(M47,"DRAFT INCLUDE","HOLD / EXCLUDE")</x:f>
        <x:v>HOLD / EXCLUDE</x:v>
      </x:c>
      <x:c r="O47" s="101" t="str">
        <x:f>IF(M47,C47,"")</x:f>
      </x:c>
      <x:c r="P47" s="98" t="str">
        <x:f>IF(N47="DRAFT INCLUDE",ROUNDUP(COUNTIF($N$6:N47,"DRAFT INCLUDE")/'Decision Summary'!$B$12,0),"")</x:f>
      </x:c>
      <x:c r="Q47" s="98" t="str">
        <x:f>IF(N47="DRAFT INCLUDE",MOD(COUNTIF($N$6:N47,"DRAFT INCLUDE")-1,'Decision Summary'!$B$12)+1,"")</x:f>
      </x:c>
      <x:c r="R47" s="98" t="str">
        <x:v>PENDING</x:v>
      </x:c>
      <x:c r="S47" s="98" t="str"/>
      <x:c r="T47" s="98" t="str">
        <x:v>Ordinary EOA candidate; inclusion still depends on V1 deprecation, threshold policy and owner approval.</x:v>
      </x:c>
      <x:c r="U47" s="89" t="str">
        <x:v>https://etherscan.io/token/0x445d03f499f1c150615957bb87588fb465fc91cc#balances</x:v>
      </x:c>
      <x:c r="V47" s="89" t="b">
        <x:f>COUNTIF($C$6:$C$502,C47)&gt;1</x:f>
        <x:v>0</x:v>
      </x:c>
    </x:row>
    <x:row r="48">
      <x:c r="A48" s="89" t="n">
        <x:v>43</x:v>
      </x:c>
      <x:c r="B48" s="89" t="str">
        <x:v>v1-mainnet-0043</x:v>
      </x:c>
      <x:c r="C48" s="90" t="str">
        <x:v>0x408ff4c088f0bd4b8384aaf400e38cdcc32a4954</x:v>
      </x:c>
      <x:c r="D48" s="98" t="str"/>
      <x:c r="E48" s="98" t="str">
        <x:v>EOA_CANDIDATE</x:v>
      </x:c>
      <x:c r="F48" s="91" t="b">
        <x:v>0</x:v>
      </x:c>
      <x:c r="G48" s="89" t="n">
        <x:v>0</x:v>
      </x:c>
      <x:c r="H48" s="90" t="str">
        <x:v>199673696740558</x:v>
      </x:c>
      <x:c r="I48" s="92" t="n">
        <x:v>199.673696740558</x:v>
      </x:c>
      <x:c r="J48" s="92" t="str">
        <x:v>199673696740558000000</x:v>
      </x:c>
      <x:c r="K48" s="92" t="n">
        <x:v>199.673696740558</x:v>
      </x:c>
      <x:c r="L48" s="98" t="str">
        <x:v>PENDING_OWNER_ELIGIBILITY_APPROVAL</x:v>
      </x:c>
      <x:c r="M48" s="98" t="b">
        <x:f>IF(E48="EOA_CANDIDATE",I48&gt;='Decision Summary'!$B$11,FALSE)</x:f>
        <x:v>0</x:v>
      </x:c>
      <x:c r="N48" s="98" t="str">
        <x:f>IF(M48,"DRAFT INCLUDE","HOLD / EXCLUDE")</x:f>
        <x:v>HOLD / EXCLUDE</x:v>
      </x:c>
      <x:c r="O48" s="101" t="str">
        <x:f>IF(M48,C48,"")</x:f>
      </x:c>
      <x:c r="P48" s="98" t="str">
        <x:f>IF(N48="DRAFT INCLUDE",ROUNDUP(COUNTIF($N$6:N48,"DRAFT INCLUDE")/'Decision Summary'!$B$12,0),"")</x:f>
      </x:c>
      <x:c r="Q48" s="98" t="str">
        <x:f>IF(N48="DRAFT INCLUDE",MOD(COUNTIF($N$6:N48,"DRAFT INCLUDE")-1,'Decision Summary'!$B$12)+1,"")</x:f>
      </x:c>
      <x:c r="R48" s="98" t="str">
        <x:v>PENDING</x:v>
      </x:c>
      <x:c r="S48" s="98" t="str"/>
      <x:c r="T48" s="98" t="str">
        <x:v>Ordinary EOA candidate; inclusion still depends on V1 deprecation, threshold policy and owner approval.</x:v>
      </x:c>
      <x:c r="U48" s="89" t="str">
        <x:v>https://etherscan.io/token/0x445d03f499f1c150615957bb87588fb465fc91cc#balances</x:v>
      </x:c>
      <x:c r="V48" s="89" t="b">
        <x:f>COUNTIF($C$6:$C$502,C48)&gt;1</x:f>
        <x:v>0</x:v>
      </x:c>
    </x:row>
    <x:row r="49">
      <x:c r="A49" s="89" t="n">
        <x:v>44</x:v>
      </x:c>
      <x:c r="B49" s="89" t="str">
        <x:v>v1-mainnet-0044</x:v>
      </x:c>
      <x:c r="C49" s="90" t="str">
        <x:v>0xf7a7edd501feb688a090cc9b990648fed643701e</x:v>
      </x:c>
      <x:c r="D49" s="98" t="str"/>
      <x:c r="E49" s="98" t="str">
        <x:v>EOA_CANDIDATE</x:v>
      </x:c>
      <x:c r="F49" s="91" t="b">
        <x:v>0</x:v>
      </x:c>
      <x:c r="G49" s="89" t="n">
        <x:v>0</x:v>
      </x:c>
      <x:c r="H49" s="90" t="str">
        <x:v>186640300000000</x:v>
      </x:c>
      <x:c r="I49" s="92" t="n">
        <x:v>186.6403</x:v>
      </x:c>
      <x:c r="J49" s="92" t="str">
        <x:v>186640300000000000000</x:v>
      </x:c>
      <x:c r="K49" s="92" t="n">
        <x:v>186.6403</x:v>
      </x:c>
      <x:c r="L49" s="98" t="str">
        <x:v>PENDING_OWNER_ELIGIBILITY_APPROVAL</x:v>
      </x:c>
      <x:c r="M49" s="98" t="b">
        <x:f>IF(E49="EOA_CANDIDATE",I49&gt;='Decision Summary'!$B$11,FALSE)</x:f>
        <x:v>0</x:v>
      </x:c>
      <x:c r="N49" s="98" t="str">
        <x:f>IF(M49,"DRAFT INCLUDE","HOLD / EXCLUDE")</x:f>
        <x:v>HOLD / EXCLUDE</x:v>
      </x:c>
      <x:c r="O49" s="101" t="str">
        <x:f>IF(M49,C49,"")</x:f>
      </x:c>
      <x:c r="P49" s="98" t="str">
        <x:f>IF(N49="DRAFT INCLUDE",ROUNDUP(COUNTIF($N$6:N49,"DRAFT INCLUDE")/'Decision Summary'!$B$12,0),"")</x:f>
      </x:c>
      <x:c r="Q49" s="98" t="str">
        <x:f>IF(N49="DRAFT INCLUDE",MOD(COUNTIF($N$6:N49,"DRAFT INCLUDE")-1,'Decision Summary'!$B$12)+1,"")</x:f>
      </x:c>
      <x:c r="R49" s="98" t="str">
        <x:v>PENDING</x:v>
      </x:c>
      <x:c r="S49" s="98" t="str"/>
      <x:c r="T49" s="98" t="str">
        <x:v>Ordinary EOA candidate; inclusion still depends on V1 deprecation, threshold policy and owner approval.</x:v>
      </x:c>
      <x:c r="U49" s="89" t="str">
        <x:v>https://etherscan.io/token/0x445d03f499f1c150615957bb87588fb465fc91cc#balances</x:v>
      </x:c>
      <x:c r="V49" s="89" t="b">
        <x:f>COUNTIF($C$6:$C$502,C49)&gt;1</x:f>
        <x:v>0</x:v>
      </x:c>
    </x:row>
    <x:row r="50">
      <x:c r="A50" s="89" t="n">
        <x:v>45</x:v>
      </x:c>
      <x:c r="B50" s="89" t="str">
        <x:v>v1-mainnet-0045</x:v>
      </x:c>
      <x:c r="C50" s="90" t="str">
        <x:v>0xf704c1d5d03ab7b476d3ce4a3a7b6e445aaa1e97</x:v>
      </x:c>
      <x:c r="D50" s="98" t="str"/>
      <x:c r="E50" s="98" t="str">
        <x:v>EOA_CANDIDATE</x:v>
      </x:c>
      <x:c r="F50" s="91" t="b">
        <x:v>0</x:v>
      </x:c>
      <x:c r="G50" s="89" t="n">
        <x:v>0</x:v>
      </x:c>
      <x:c r="H50" s="90" t="str">
        <x:v>172773600000000</x:v>
      </x:c>
      <x:c r="I50" s="92" t="n">
        <x:v>172.7736</x:v>
      </x:c>
      <x:c r="J50" s="92" t="str">
        <x:v>172773600000000000000</x:v>
      </x:c>
      <x:c r="K50" s="92" t="n">
        <x:v>172.7736</x:v>
      </x:c>
      <x:c r="L50" s="98" t="str">
        <x:v>PENDING_OWNER_ELIGIBILITY_APPROVAL</x:v>
      </x:c>
      <x:c r="M50" s="98" t="b">
        <x:f>IF(E50="EOA_CANDIDATE",I50&gt;='Decision Summary'!$B$11,FALSE)</x:f>
        <x:v>0</x:v>
      </x:c>
      <x:c r="N50" s="98" t="str">
        <x:f>IF(M50,"DRAFT INCLUDE","HOLD / EXCLUDE")</x:f>
        <x:v>HOLD / EXCLUDE</x:v>
      </x:c>
      <x:c r="O50" s="101" t="str">
        <x:f>IF(M50,C50,"")</x:f>
      </x:c>
      <x:c r="P50" s="98" t="str">
        <x:f>IF(N50="DRAFT INCLUDE",ROUNDUP(COUNTIF($N$6:N50,"DRAFT INCLUDE")/'Decision Summary'!$B$12,0),"")</x:f>
      </x:c>
      <x:c r="Q50" s="98" t="str">
        <x:f>IF(N50="DRAFT INCLUDE",MOD(COUNTIF($N$6:N50,"DRAFT INCLUDE")-1,'Decision Summary'!$B$12)+1,"")</x:f>
      </x:c>
      <x:c r="R50" s="98" t="str">
        <x:v>PENDING</x:v>
      </x:c>
      <x:c r="S50" s="98" t="str"/>
      <x:c r="T50" s="98" t="str">
        <x:v>Ordinary EOA candidate; inclusion still depends on V1 deprecation, threshold policy and owner approval.</x:v>
      </x:c>
      <x:c r="U50" s="89" t="str">
        <x:v>https://etherscan.io/token/0x445d03f499f1c150615957bb87588fb465fc91cc#balances</x:v>
      </x:c>
      <x:c r="V50" s="89" t="b">
        <x:f>COUNTIF($C$6:$C$502,C50)&gt;1</x:f>
        <x:v>0</x:v>
      </x:c>
    </x:row>
    <x:row r="51">
      <x:c r="A51" s="89" t="n">
        <x:v>46</x:v>
      </x:c>
      <x:c r="B51" s="89" t="str">
        <x:v>v1-mainnet-0046</x:v>
      </x:c>
      <x:c r="C51" s="90" t="str">
        <x:v>0xdc3c3baf41a7f50151d4109307907ce39bc2b16e</x:v>
      </x:c>
      <x:c r="D51" s="98" t="str"/>
      <x:c r="E51" s="98" t="str">
        <x:v>EOA_CANDIDATE</x:v>
      </x:c>
      <x:c r="F51" s="91" t="b">
        <x:v>0</x:v>
      </x:c>
      <x:c r="G51" s="89" t="n">
        <x:v>0</x:v>
      </x:c>
      <x:c r="H51" s="90" t="str">
        <x:v>147000000000000</x:v>
      </x:c>
      <x:c r="I51" s="92" t="n">
        <x:v>147</x:v>
      </x:c>
      <x:c r="J51" s="92" t="str">
        <x:v>147000000000000000000</x:v>
      </x:c>
      <x:c r="K51" s="92" t="n">
        <x:v>147</x:v>
      </x:c>
      <x:c r="L51" s="98" t="str">
        <x:v>PENDING_OWNER_ELIGIBILITY_APPROVAL</x:v>
      </x:c>
      <x:c r="M51" s="98" t="b">
        <x:f>IF(E51="EOA_CANDIDATE",I51&gt;='Decision Summary'!$B$11,FALSE)</x:f>
        <x:v>0</x:v>
      </x:c>
      <x:c r="N51" s="98" t="str">
        <x:f>IF(M51,"DRAFT INCLUDE","HOLD / EXCLUDE")</x:f>
        <x:v>HOLD / EXCLUDE</x:v>
      </x:c>
      <x:c r="O51" s="101" t="str">
        <x:f>IF(M51,C51,"")</x:f>
      </x:c>
      <x:c r="P51" s="98" t="str">
        <x:f>IF(N51="DRAFT INCLUDE",ROUNDUP(COUNTIF($N$6:N51,"DRAFT INCLUDE")/'Decision Summary'!$B$12,0),"")</x:f>
      </x:c>
      <x:c r="Q51" s="98" t="str">
        <x:f>IF(N51="DRAFT INCLUDE",MOD(COUNTIF($N$6:N51,"DRAFT INCLUDE")-1,'Decision Summary'!$B$12)+1,"")</x:f>
      </x:c>
      <x:c r="R51" s="98" t="str">
        <x:v>PENDING</x:v>
      </x:c>
      <x:c r="S51" s="98" t="str"/>
      <x:c r="T51" s="98" t="str">
        <x:v>Ordinary EOA candidate; inclusion still depends on V1 deprecation, threshold policy and owner approval.</x:v>
      </x:c>
      <x:c r="U51" s="89" t="str">
        <x:v>https://etherscan.io/token/0x445d03f499f1c150615957bb87588fb465fc91cc#balances</x:v>
      </x:c>
      <x:c r="V51" s="89" t="b">
        <x:f>COUNTIF($C$6:$C$502,C51)&gt;1</x:f>
        <x:v>0</x:v>
      </x:c>
    </x:row>
    <x:row r="52">
      <x:c r="A52" s="89" t="n">
        <x:v>47</x:v>
      </x:c>
      <x:c r="B52" s="89" t="str">
        <x:v>v1-mainnet-0047</x:v>
      </x:c>
      <x:c r="C52" s="90" t="str">
        <x:v>0x73643770f1c0e7a92492f4217535c6a0bf17d47e</x:v>
      </x:c>
      <x:c r="D52" s="98" t="str"/>
      <x:c r="E52" s="98" t="str">
        <x:v>EOA_CANDIDATE</x:v>
      </x:c>
      <x:c r="F52" s="91" t="b">
        <x:v>0</x:v>
      </x:c>
      <x:c r="G52" s="89" t="n">
        <x:v>0</x:v>
      </x:c>
      <x:c r="H52" s="90" t="str">
        <x:v>129397410000000</x:v>
      </x:c>
      <x:c r="I52" s="92" t="n">
        <x:v>129.39741</x:v>
      </x:c>
      <x:c r="J52" s="92" t="str">
        <x:v>129397410000000000000</x:v>
      </x:c>
      <x:c r="K52" s="92" t="n">
        <x:v>129.39741</x:v>
      </x:c>
      <x:c r="L52" s="98" t="str">
        <x:v>PENDING_OWNER_ELIGIBILITY_APPROVAL</x:v>
      </x:c>
      <x:c r="M52" s="98" t="b">
        <x:f>IF(E52="EOA_CANDIDATE",I52&gt;='Decision Summary'!$B$11,FALSE)</x:f>
        <x:v>0</x:v>
      </x:c>
      <x:c r="N52" s="98" t="str">
        <x:f>IF(M52,"DRAFT INCLUDE","HOLD / EXCLUDE")</x:f>
        <x:v>HOLD / EXCLUDE</x:v>
      </x:c>
      <x:c r="O52" s="101" t="str">
        <x:f>IF(M52,C52,"")</x:f>
      </x:c>
      <x:c r="P52" s="98" t="str">
        <x:f>IF(N52="DRAFT INCLUDE",ROUNDUP(COUNTIF($N$6:N52,"DRAFT INCLUDE")/'Decision Summary'!$B$12,0),"")</x:f>
      </x:c>
      <x:c r="Q52" s="98" t="str">
        <x:f>IF(N52="DRAFT INCLUDE",MOD(COUNTIF($N$6:N52,"DRAFT INCLUDE")-1,'Decision Summary'!$B$12)+1,"")</x:f>
      </x:c>
      <x:c r="R52" s="98" t="str">
        <x:v>PENDING</x:v>
      </x:c>
      <x:c r="S52" s="98" t="str"/>
      <x:c r="T52" s="98" t="str">
        <x:v>Ordinary EOA candidate; inclusion still depends on V1 deprecation, threshold policy and owner approval.</x:v>
      </x:c>
      <x:c r="U52" s="89" t="str">
        <x:v>https://etherscan.io/token/0x445d03f499f1c150615957bb87588fb465fc91cc#balances</x:v>
      </x:c>
      <x:c r="V52" s="89" t="b">
        <x:f>COUNTIF($C$6:$C$502,C52)&gt;1</x:f>
        <x:v>0</x:v>
      </x:c>
    </x:row>
    <x:row r="53">
      <x:c r="A53" s="89" t="n">
        <x:v>48</x:v>
      </x:c>
      <x:c r="B53" s="89" t="str">
        <x:v>v1-mainnet-0048</x:v>
      </x:c>
      <x:c r="C53" s="90" t="str">
        <x:v>0xf5d6eb8e7b0a69028e94c748e562cb2ebecdb621</x:v>
      </x:c>
      <x:c r="D53" s="98" t="str"/>
      <x:c r="E53" s="98" t="str">
        <x:v>EOA_CANDIDATE</x:v>
      </x:c>
      <x:c r="F53" s="91" t="b">
        <x:v>0</x:v>
      </x:c>
      <x:c r="G53" s="89" t="n">
        <x:v>0</x:v>
      </x:c>
      <x:c r="H53" s="90" t="str">
        <x:v>125452190000000</x:v>
      </x:c>
      <x:c r="I53" s="92" t="n">
        <x:v>125.45219</x:v>
      </x:c>
      <x:c r="J53" s="92" t="str">
        <x:v>125452190000000000000</x:v>
      </x:c>
      <x:c r="K53" s="92" t="n">
        <x:v>125.45219</x:v>
      </x:c>
      <x:c r="L53" s="98" t="str">
        <x:v>PENDING_OWNER_ELIGIBILITY_APPROVAL</x:v>
      </x:c>
      <x:c r="M53" s="98" t="b">
        <x:f>IF(E53="EOA_CANDIDATE",I53&gt;='Decision Summary'!$B$11,FALSE)</x:f>
        <x:v>0</x:v>
      </x:c>
      <x:c r="N53" s="98" t="str">
        <x:f>IF(M53,"DRAFT INCLUDE","HOLD / EXCLUDE")</x:f>
        <x:v>HOLD / EXCLUDE</x:v>
      </x:c>
      <x:c r="O53" s="101" t="str">
        <x:f>IF(M53,C53,"")</x:f>
      </x:c>
      <x:c r="P53" s="98" t="str">
        <x:f>IF(N53="DRAFT INCLUDE",ROUNDUP(COUNTIF($N$6:N53,"DRAFT INCLUDE")/'Decision Summary'!$B$12,0),"")</x:f>
      </x:c>
      <x:c r="Q53" s="98" t="str">
        <x:f>IF(N53="DRAFT INCLUDE",MOD(COUNTIF($N$6:N53,"DRAFT INCLUDE")-1,'Decision Summary'!$B$12)+1,"")</x:f>
      </x:c>
      <x:c r="R53" s="98" t="str">
        <x:v>PENDING</x:v>
      </x:c>
      <x:c r="S53" s="98" t="str"/>
      <x:c r="T53" s="98" t="str">
        <x:v>Ordinary EOA candidate; inclusion still depends on V1 deprecation, threshold policy and owner approval.</x:v>
      </x:c>
      <x:c r="U53" s="89" t="str">
        <x:v>https://etherscan.io/token/0x445d03f499f1c150615957bb87588fb465fc91cc#balances</x:v>
      </x:c>
      <x:c r="V53" s="89" t="b">
        <x:f>COUNTIF($C$6:$C$502,C53)&gt;1</x:f>
        <x:v>0</x:v>
      </x:c>
    </x:row>
    <x:row r="54">
      <x:c r="A54" s="89" t="n">
        <x:v>49</x:v>
      </x:c>
      <x:c r="B54" s="89" t="str">
        <x:v>v1-mainnet-0049</x:v>
      </x:c>
      <x:c r="C54" s="90" t="str">
        <x:v>0xd3bab778576b948370c1fba8e209ac65c046b8f9</x:v>
      </x:c>
      <x:c r="D54" s="98" t="str"/>
      <x:c r="E54" s="98" t="str">
        <x:v>EOA_CANDIDATE</x:v>
      </x:c>
      <x:c r="F54" s="91" t="b">
        <x:v>0</x:v>
      </x:c>
      <x:c r="G54" s="89" t="n">
        <x:v>0</x:v>
      </x:c>
      <x:c r="H54" s="90" t="str">
        <x:v>122835040000000</x:v>
      </x:c>
      <x:c r="I54" s="92" t="n">
        <x:v>122.83504</x:v>
      </x:c>
      <x:c r="J54" s="92" t="str">
        <x:v>122835040000000000000</x:v>
      </x:c>
      <x:c r="K54" s="92" t="n">
        <x:v>122.83504</x:v>
      </x:c>
      <x:c r="L54" s="98" t="str">
        <x:v>PENDING_OWNER_ELIGIBILITY_APPROVAL</x:v>
      </x:c>
      <x:c r="M54" s="98" t="b">
        <x:f>IF(E54="EOA_CANDIDATE",I54&gt;='Decision Summary'!$B$11,FALSE)</x:f>
        <x:v>0</x:v>
      </x:c>
      <x:c r="N54" s="98" t="str">
        <x:f>IF(M54,"DRAFT INCLUDE","HOLD / EXCLUDE")</x:f>
        <x:v>HOLD / EXCLUDE</x:v>
      </x:c>
      <x:c r="O54" s="101" t="str">
        <x:f>IF(M54,C54,"")</x:f>
      </x:c>
      <x:c r="P54" s="98" t="str">
        <x:f>IF(N54="DRAFT INCLUDE",ROUNDUP(COUNTIF($N$6:N54,"DRAFT INCLUDE")/'Decision Summary'!$B$12,0),"")</x:f>
      </x:c>
      <x:c r="Q54" s="98" t="str">
        <x:f>IF(N54="DRAFT INCLUDE",MOD(COUNTIF($N$6:N54,"DRAFT INCLUDE")-1,'Decision Summary'!$B$12)+1,"")</x:f>
      </x:c>
      <x:c r="R54" s="98" t="str">
        <x:v>PENDING</x:v>
      </x:c>
      <x:c r="S54" s="98" t="str"/>
      <x:c r="T54" s="98" t="str">
        <x:v>Ordinary EOA candidate; inclusion still depends on V1 deprecation, threshold policy and owner approval.</x:v>
      </x:c>
      <x:c r="U54" s="89" t="str">
        <x:v>https://etherscan.io/token/0x445d03f499f1c150615957bb87588fb465fc91cc#balances</x:v>
      </x:c>
      <x:c r="V54" s="89" t="b">
        <x:f>COUNTIF($C$6:$C$502,C54)&gt;1</x:f>
        <x:v>0</x:v>
      </x:c>
    </x:row>
    <x:row r="55">
      <x:c r="A55" s="89" t="n">
        <x:v>50</x:v>
      </x:c>
      <x:c r="B55" s="89" t="str">
        <x:v>v1-mainnet-0050</x:v>
      </x:c>
      <x:c r="C55" s="90" t="str">
        <x:v>0xa3996b9977cdbf77c6f7717894d58a66a6789d9c</x:v>
      </x:c>
      <x:c r="D55" s="98" t="str"/>
      <x:c r="E55" s="98" t="str">
        <x:v>SMART_CONTRACT</x:v>
      </x:c>
      <x:c r="F55" s="91" t="b">
        <x:v>1</x:v>
      </x:c>
      <x:c r="G55" s="89" t="n">
        <x:v>6235</x:v>
      </x:c>
      <x:c r="H55" s="90" t="str">
        <x:v>104073564052835</x:v>
      </x:c>
      <x:c r="I55" s="92" t="n">
        <x:v>104.073564052835</x:v>
      </x:c>
      <x:c r="J55" s="92" t="str">
        <x:v>104073564052835000000</x:v>
      </x:c>
      <x:c r="K55" s="92" t="n">
        <x:v>104.073564052835</x:v>
      </x:c>
      <x:c r="L55" s="98" t="str">
        <x:v>HOLD_CONTRACT_RECIPIENT_REVIEW</x:v>
      </x:c>
      <x:c r="M55" s="98" t="b">
        <x:f>IF(E55="EOA_CANDIDATE",I55&gt;='Decision Summary'!$B$11,FALSE)</x:f>
        <x:v>0</x:v>
      </x:c>
      <x:c r="N55" s="98" t="str">
        <x:f>IF(M55,"DRAFT INCLUDE","HOLD / EXCLUDE")</x:f>
        <x:v>HOLD / EXCLUDE</x:v>
      </x:c>
      <x:c r="O55" s="101" t="str">
        <x:f>IF(M55,C55,"")</x:f>
      </x:c>
      <x:c r="P55" s="98" t="str">
        <x:f>IF(N55="DRAFT INCLUDE",ROUNDUP(COUNTIF($N$6:N55,"DRAFT INCLUDE")/'Decision Summary'!$B$12,0),"")</x:f>
      </x:c>
      <x:c r="Q55" s="98" t="str">
        <x:f>IF(N55="DRAFT INCLUDE",MOD(COUNTIF($N$6:N55,"DRAFT INCLUDE")-1,'Decision Summary'!$B$12)+1,"")</x:f>
      </x:c>
      <x:c r="R55" s="98" t="str">
        <x:v>PENDING</x:v>
      </x:c>
      <x:c r="S55" s="98" t="str"/>
      <x:c r="T55" s="98" t="str">
        <x:v>Contract recipients require ownership, recovery and token-compatibility review.</x:v>
      </x:c>
      <x:c r="U55" s="89" t="str">
        <x:v>https://etherscan.io/token/0x445d03f499f1c150615957bb87588fb465fc91cc#balances</x:v>
      </x:c>
      <x:c r="V55" s="89" t="b">
        <x:f>COUNTIF($C$6:$C$502,C55)&gt;1</x:f>
        <x:v>0</x:v>
      </x:c>
    </x:row>
    <x:row r="56">
      <x:c r="A56" s="89" t="n">
        <x:v>51</x:v>
      </x:c>
      <x:c r="B56" s="89" t="str">
        <x:v>v1-mainnet-0051</x:v>
      </x:c>
      <x:c r="C56" s="90" t="str">
        <x:v>0xe35c51d899c5524347a384c1012bb5b76af85b24</x:v>
      </x:c>
      <x:c r="D56" s="98" t="str"/>
      <x:c r="E56" s="98" t="str">
        <x:v>EOA_CANDIDATE</x:v>
      </x:c>
      <x:c r="F56" s="91" t="b">
        <x:v>0</x:v>
      </x:c>
      <x:c r="G56" s="89" t="n">
        <x:v>0</x:v>
      </x:c>
      <x:c r="H56" s="90" t="str">
        <x:v>90000000000000</x:v>
      </x:c>
      <x:c r="I56" s="92" t="n">
        <x:v>90</x:v>
      </x:c>
      <x:c r="J56" s="92" t="str">
        <x:v>90000000000000000000</x:v>
      </x:c>
      <x:c r="K56" s="92" t="n">
        <x:v>90</x:v>
      </x:c>
      <x:c r="L56" s="98" t="str">
        <x:v>PENDING_OWNER_ELIGIBILITY_APPROVAL</x:v>
      </x:c>
      <x:c r="M56" s="98" t="b">
        <x:f>IF(E56="EOA_CANDIDATE",I56&gt;='Decision Summary'!$B$11,FALSE)</x:f>
        <x:v>0</x:v>
      </x:c>
      <x:c r="N56" s="98" t="str">
        <x:f>IF(M56,"DRAFT INCLUDE","HOLD / EXCLUDE")</x:f>
        <x:v>HOLD / EXCLUDE</x:v>
      </x:c>
      <x:c r="O56" s="101" t="str">
        <x:f>IF(M56,C56,"")</x:f>
      </x:c>
      <x:c r="P56" s="98" t="str">
        <x:f>IF(N56="DRAFT INCLUDE",ROUNDUP(COUNTIF($N$6:N56,"DRAFT INCLUDE")/'Decision Summary'!$B$12,0),"")</x:f>
      </x:c>
      <x:c r="Q56" s="98" t="str">
        <x:f>IF(N56="DRAFT INCLUDE",MOD(COUNTIF($N$6:N56,"DRAFT INCLUDE")-1,'Decision Summary'!$B$12)+1,"")</x:f>
      </x:c>
      <x:c r="R56" s="98" t="str">
        <x:v>PENDING</x:v>
      </x:c>
      <x:c r="S56" s="98" t="str"/>
      <x:c r="T56" s="98" t="str">
        <x:v>Ordinary EOA candidate; inclusion still depends on V1 deprecation, threshold policy and owner approval.</x:v>
      </x:c>
      <x:c r="U56" s="89" t="str">
        <x:v>https://etherscan.io/token/0x445d03f499f1c150615957bb87588fb465fc91cc#balances</x:v>
      </x:c>
      <x:c r="V56" s="89" t="b">
        <x:f>COUNTIF($C$6:$C$502,C56)&gt;1</x:f>
        <x:v>0</x:v>
      </x:c>
    </x:row>
    <x:row r="57">
      <x:c r="A57" s="89" t="n">
        <x:v>52</x:v>
      </x:c>
      <x:c r="B57" s="89" t="str">
        <x:v>v1-mainnet-0052</x:v>
      </x:c>
      <x:c r="C57" s="90" t="str">
        <x:v>0x731906e287bea52aa282b7015681920cfaf62708</x:v>
      </x:c>
      <x:c r="D57" s="98" t="str"/>
      <x:c r="E57" s="98" t="str">
        <x:v>EOA_CANDIDATE</x:v>
      </x:c>
      <x:c r="F57" s="91" t="b">
        <x:v>0</x:v>
      </x:c>
      <x:c r="G57" s="89" t="n">
        <x:v>0</x:v>
      </x:c>
      <x:c r="H57" s="90" t="str">
        <x:v>80000000000000</x:v>
      </x:c>
      <x:c r="I57" s="92" t="n">
        <x:v>80</x:v>
      </x:c>
      <x:c r="J57" s="92" t="str">
        <x:v>80000000000000000000</x:v>
      </x:c>
      <x:c r="K57" s="92" t="n">
        <x:v>80</x:v>
      </x:c>
      <x:c r="L57" s="98" t="str">
        <x:v>PENDING_OWNER_ELIGIBILITY_APPROVAL</x:v>
      </x:c>
      <x:c r="M57" s="98" t="b">
        <x:f>IF(E57="EOA_CANDIDATE",I57&gt;='Decision Summary'!$B$11,FALSE)</x:f>
        <x:v>0</x:v>
      </x:c>
      <x:c r="N57" s="98" t="str">
        <x:f>IF(M57,"DRAFT INCLUDE","HOLD / EXCLUDE")</x:f>
        <x:v>HOLD / EXCLUDE</x:v>
      </x:c>
      <x:c r="O57" s="101" t="str">
        <x:f>IF(M57,C57,"")</x:f>
      </x:c>
      <x:c r="P57" s="98" t="str">
        <x:f>IF(N57="DRAFT INCLUDE",ROUNDUP(COUNTIF($N$6:N57,"DRAFT INCLUDE")/'Decision Summary'!$B$12,0),"")</x:f>
      </x:c>
      <x:c r="Q57" s="98" t="str">
        <x:f>IF(N57="DRAFT INCLUDE",MOD(COUNTIF($N$6:N57,"DRAFT INCLUDE")-1,'Decision Summary'!$B$12)+1,"")</x:f>
      </x:c>
      <x:c r="R57" s="98" t="str">
        <x:v>PENDING</x:v>
      </x:c>
      <x:c r="S57" s="98" t="str"/>
      <x:c r="T57" s="98" t="str">
        <x:v>Ordinary EOA candidate; inclusion still depends on V1 deprecation, threshold policy and owner approval.</x:v>
      </x:c>
      <x:c r="U57" s="89" t="str">
        <x:v>https://etherscan.io/token/0x445d03f499f1c150615957bb87588fb465fc91cc#balances</x:v>
      </x:c>
      <x:c r="V57" s="89" t="b">
        <x:f>COUNTIF($C$6:$C$502,C57)&gt;1</x:f>
        <x:v>0</x:v>
      </x:c>
    </x:row>
    <x:row r="58">
      <x:c r="A58" s="89" t="n">
        <x:v>53</x:v>
      </x:c>
      <x:c r="B58" s="89" t="str">
        <x:v>v1-mainnet-0053</x:v>
      </x:c>
      <x:c r="C58" s="90" t="str">
        <x:v>0x6dd35292b41e2382ee1aadd535e286cbc3c8e22f</x:v>
      </x:c>
      <x:c r="D58" s="98" t="str"/>
      <x:c r="E58" s="98" t="str">
        <x:v>EIP7702_DELEGATED_ACCOUNT</x:v>
      </x:c>
      <x:c r="F58" s="91" t="b">
        <x:v>1</x:v>
      </x:c>
      <x:c r="G58" s="89" t="n">
        <x:v>23</x:v>
      </x:c>
      <x:c r="H58" s="90" t="str">
        <x:v>79424720000000</x:v>
      </x:c>
      <x:c r="I58" s="92" t="n">
        <x:v>79.42472</x:v>
      </x:c>
      <x:c r="J58" s="92" t="str">
        <x:v>79424720000000000000</x:v>
      </x:c>
      <x:c r="K58" s="92" t="n">
        <x:v>79.42472</x:v>
      </x:c>
      <x:c r="L58" s="98" t="str">
        <x:v>HOLD_ACCOUNT_CONTROL_REVIEW</x:v>
      </x:c>
      <x:c r="M58" s="98" t="b">
        <x:f>IF(E58="EOA_CANDIDATE",I58&gt;='Decision Summary'!$B$11,FALSE)</x:f>
        <x:v>0</x:v>
      </x:c>
      <x:c r="N58" s="98" t="str">
        <x:f>IF(M58,"DRAFT INCLUDE","HOLD / EXCLUDE")</x:f>
        <x:v>HOLD / EXCLUDE</x:v>
      </x:c>
      <x:c r="O58" s="101" t="str">
        <x:f>IF(M58,C58,"")</x:f>
      </x:c>
      <x:c r="P58" s="98" t="str">
        <x:f>IF(N58="DRAFT INCLUDE",ROUNDUP(COUNTIF($N$6:N58,"DRAFT INCLUDE")/'Decision Summary'!$B$12,0),"")</x:f>
      </x:c>
      <x:c r="Q58" s="98" t="str">
        <x:f>IF(N58="DRAFT INCLUDE",MOD(COUNTIF($N$6:N58,"DRAFT INCLUDE")-1,'Decision Summary'!$B$12)+1,"")</x:f>
      </x:c>
      <x:c r="R58" s="98" t="str">
        <x:v>PENDING</x:v>
      </x:c>
      <x:c r="S58" s="98" t="str"/>
      <x:c r="T58" s="98" t="str">
        <x:v>23-byte delegated account code requires control and destination review before inclusion.</x:v>
      </x:c>
      <x:c r="U58" s="89" t="str">
        <x:v>https://etherscan.io/token/0x445d03f499f1c150615957bb87588fb465fc91cc#balances</x:v>
      </x:c>
      <x:c r="V58" s="89" t="b">
        <x:f>COUNTIF($C$6:$C$502,C58)&gt;1</x:f>
        <x:v>0</x:v>
      </x:c>
    </x:row>
    <x:row r="59">
      <x:c r="A59" s="89" t="n">
        <x:v>54</x:v>
      </x:c>
      <x:c r="B59" s="89" t="str">
        <x:v>v1-mainnet-0054</x:v>
      </x:c>
      <x:c r="C59" s="90" t="str">
        <x:v>0xbe048116f1d1efb94ec76e4c3ec02061507c3ad2</x:v>
      </x:c>
      <x:c r="D59" s="98" t="str"/>
      <x:c r="E59" s="98" t="str">
        <x:v>EOA_CANDIDATE</x:v>
      </x:c>
      <x:c r="F59" s="91" t="b">
        <x:v>0</x:v>
      </x:c>
      <x:c r="G59" s="89" t="n">
        <x:v>0</x:v>
      </x:c>
      <x:c r="H59" s="90" t="str">
        <x:v>74600000000000</x:v>
      </x:c>
      <x:c r="I59" s="92" t="n">
        <x:v>74.6</x:v>
      </x:c>
      <x:c r="J59" s="92" t="str">
        <x:v>74600000000000000000</x:v>
      </x:c>
      <x:c r="K59" s="92" t="n">
        <x:v>74.6</x:v>
      </x:c>
      <x:c r="L59" s="98" t="str">
        <x:v>PENDING_OWNER_ELIGIBILITY_APPROVAL</x:v>
      </x:c>
      <x:c r="M59" s="98" t="b">
        <x:f>IF(E59="EOA_CANDIDATE",I59&gt;='Decision Summary'!$B$11,FALSE)</x:f>
        <x:v>0</x:v>
      </x:c>
      <x:c r="N59" s="98" t="str">
        <x:f>IF(M59,"DRAFT INCLUDE","HOLD / EXCLUDE")</x:f>
        <x:v>HOLD / EXCLUDE</x:v>
      </x:c>
      <x:c r="O59" s="101" t="str">
        <x:f>IF(M59,C59,"")</x:f>
      </x:c>
      <x:c r="P59" s="98" t="str">
        <x:f>IF(N59="DRAFT INCLUDE",ROUNDUP(COUNTIF($N$6:N59,"DRAFT INCLUDE")/'Decision Summary'!$B$12,0),"")</x:f>
      </x:c>
      <x:c r="Q59" s="98" t="str">
        <x:f>IF(N59="DRAFT INCLUDE",MOD(COUNTIF($N$6:N59,"DRAFT INCLUDE")-1,'Decision Summary'!$B$12)+1,"")</x:f>
      </x:c>
      <x:c r="R59" s="98" t="str">
        <x:v>PENDING</x:v>
      </x:c>
      <x:c r="S59" s="98" t="str"/>
      <x:c r="T59" s="98" t="str">
        <x:v>Ordinary EOA candidate; inclusion still depends on V1 deprecation, threshold policy and owner approval.</x:v>
      </x:c>
      <x:c r="U59" s="89" t="str">
        <x:v>https://etherscan.io/token/0x445d03f499f1c150615957bb87588fb465fc91cc#balances</x:v>
      </x:c>
      <x:c r="V59" s="89" t="b">
        <x:f>COUNTIF($C$6:$C$502,C59)&gt;1</x:f>
        <x:v>0</x:v>
      </x:c>
    </x:row>
    <x:row r="60">
      <x:c r="A60" s="89" t="n">
        <x:v>55</x:v>
      </x:c>
      <x:c r="B60" s="89" t="str">
        <x:v>v1-mainnet-0055</x:v>
      </x:c>
      <x:c r="C60" s="90" t="str">
        <x:v>0x9df20fd500a7d95cf6d6a1d3f154e262c2c42f52</x:v>
      </x:c>
      <x:c r="D60" s="98" t="str"/>
      <x:c r="E60" s="98" t="str">
        <x:v>EOA_CANDIDATE</x:v>
      </x:c>
      <x:c r="F60" s="91" t="b">
        <x:v>0</x:v>
      </x:c>
      <x:c r="G60" s="89" t="n">
        <x:v>0</x:v>
      </x:c>
      <x:c r="H60" s="90" t="str">
        <x:v>63038520000000</x:v>
      </x:c>
      <x:c r="I60" s="92" t="n">
        <x:v>63.03852</x:v>
      </x:c>
      <x:c r="J60" s="92" t="str">
        <x:v>63038520000000000000</x:v>
      </x:c>
      <x:c r="K60" s="92" t="n">
        <x:v>63.03852</x:v>
      </x:c>
      <x:c r="L60" s="98" t="str">
        <x:v>PENDING_OWNER_ELIGIBILITY_APPROVAL</x:v>
      </x:c>
      <x:c r="M60" s="98" t="b">
        <x:f>IF(E60="EOA_CANDIDATE",I60&gt;='Decision Summary'!$B$11,FALSE)</x:f>
        <x:v>0</x:v>
      </x:c>
      <x:c r="N60" s="98" t="str">
        <x:f>IF(M60,"DRAFT INCLUDE","HOLD / EXCLUDE")</x:f>
        <x:v>HOLD / EXCLUDE</x:v>
      </x:c>
      <x:c r="O60" s="101" t="str">
        <x:f>IF(M60,C60,"")</x:f>
      </x:c>
      <x:c r="P60" s="98" t="str">
        <x:f>IF(N60="DRAFT INCLUDE",ROUNDUP(COUNTIF($N$6:N60,"DRAFT INCLUDE")/'Decision Summary'!$B$12,0),"")</x:f>
      </x:c>
      <x:c r="Q60" s="98" t="str">
        <x:f>IF(N60="DRAFT INCLUDE",MOD(COUNTIF($N$6:N60,"DRAFT INCLUDE")-1,'Decision Summary'!$B$12)+1,"")</x:f>
      </x:c>
      <x:c r="R60" s="98" t="str">
        <x:v>PENDING</x:v>
      </x:c>
      <x:c r="S60" s="98" t="str"/>
      <x:c r="T60" s="98" t="str">
        <x:v>Ordinary EOA candidate; inclusion still depends on V1 deprecation, threshold policy and owner approval.</x:v>
      </x:c>
      <x:c r="U60" s="89" t="str">
        <x:v>https://etherscan.io/token/0x445d03f499f1c150615957bb87588fb465fc91cc#balances</x:v>
      </x:c>
      <x:c r="V60" s="89" t="b">
        <x:f>COUNTIF($C$6:$C$502,C60)&gt;1</x:f>
        <x:v>0</x:v>
      </x:c>
    </x:row>
    <x:row r="61">
      <x:c r="A61" s="89" t="n">
        <x:v>56</x:v>
      </x:c>
      <x:c r="B61" s="89" t="str">
        <x:v>v1-mainnet-0056</x:v>
      </x:c>
      <x:c r="C61" s="90" t="str">
        <x:v>0x86119c0ff7b52d9ce46370623bdca2acf4e5490c</x:v>
      </x:c>
      <x:c r="D61" s="98" t="str"/>
      <x:c r="E61" s="98" t="str">
        <x:v>EOA_CANDIDATE</x:v>
      </x:c>
      <x:c r="F61" s="91" t="b">
        <x:v>0</x:v>
      </x:c>
      <x:c r="G61" s="89" t="n">
        <x:v>0</x:v>
      </x:c>
      <x:c r="H61" s="90" t="str">
        <x:v>60722200000000</x:v>
      </x:c>
      <x:c r="I61" s="92" t="n">
        <x:v>60.7222</x:v>
      </x:c>
      <x:c r="J61" s="92" t="str">
        <x:v>60722200000000000000</x:v>
      </x:c>
      <x:c r="K61" s="92" t="n">
        <x:v>60.7222</x:v>
      </x:c>
      <x:c r="L61" s="98" t="str">
        <x:v>PENDING_OWNER_ELIGIBILITY_APPROVAL</x:v>
      </x:c>
      <x:c r="M61" s="98" t="b">
        <x:f>IF(E61="EOA_CANDIDATE",I61&gt;='Decision Summary'!$B$11,FALSE)</x:f>
        <x:v>0</x:v>
      </x:c>
      <x:c r="N61" s="98" t="str">
        <x:f>IF(M61,"DRAFT INCLUDE","HOLD / EXCLUDE")</x:f>
        <x:v>HOLD / EXCLUDE</x:v>
      </x:c>
      <x:c r="O61" s="101" t="str">
        <x:f>IF(M61,C61,"")</x:f>
      </x:c>
      <x:c r="P61" s="98" t="str">
        <x:f>IF(N61="DRAFT INCLUDE",ROUNDUP(COUNTIF($N$6:N61,"DRAFT INCLUDE")/'Decision Summary'!$B$12,0),"")</x:f>
      </x:c>
      <x:c r="Q61" s="98" t="str">
        <x:f>IF(N61="DRAFT INCLUDE",MOD(COUNTIF($N$6:N61,"DRAFT INCLUDE")-1,'Decision Summary'!$B$12)+1,"")</x:f>
      </x:c>
      <x:c r="R61" s="98" t="str">
        <x:v>PENDING</x:v>
      </x:c>
      <x:c r="S61" s="98" t="str"/>
      <x:c r="T61" s="98" t="str">
        <x:v>Ordinary EOA candidate; inclusion still depends on V1 deprecation, threshold policy and owner approval.</x:v>
      </x:c>
      <x:c r="U61" s="89" t="str">
        <x:v>https://etherscan.io/token/0x445d03f499f1c150615957bb87588fb465fc91cc#balances</x:v>
      </x:c>
      <x:c r="V61" s="89" t="b">
        <x:f>COUNTIF($C$6:$C$502,C61)&gt;1</x:f>
        <x:v>0</x:v>
      </x:c>
    </x:row>
    <x:row r="62">
      <x:c r="A62" s="89" t="n">
        <x:v>57</x:v>
      </x:c>
      <x:c r="B62" s="89" t="str">
        <x:v>v1-mainnet-0057</x:v>
      </x:c>
      <x:c r="C62" s="90" t="str">
        <x:v>0x61f77deceb2e112911cc7e26bfe078f56cfc478d</x:v>
      </x:c>
      <x:c r="D62" s="98" t="str">
        <x:v>ByBit Dep: 0x61f77DEcEb2e112911cC7E26Bfe078F56cfc478D</x:v>
      </x:c>
      <x:c r="E62" s="98" t="str">
        <x:v>CUSTODIAL_EXCHANGE_DEPOSIT</x:v>
      </x:c>
      <x:c r="F62" s="91" t="b">
        <x:v>0</x:v>
      </x:c>
      <x:c r="G62" s="89" t="n">
        <x:v>0</x:v>
      </x:c>
      <x:c r="H62" s="90" t="str">
        <x:v>53000000000000</x:v>
      </x:c>
      <x:c r="I62" s="92" t="n">
        <x:v>53</x:v>
      </x:c>
      <x:c r="J62" s="92" t="str">
        <x:v>53000000000000000000</x:v>
      </x:c>
      <x:c r="K62" s="92" t="n">
        <x:v>53</x:v>
      </x:c>
      <x:c r="L62" s="98" t="str">
        <x:v>HOLD_DESTINATION_PROOF_REQUIRED</x:v>
      </x:c>
      <x:c r="M62" s="98" t="b">
        <x:f>IF(E62="EOA_CANDIDATE",I62&gt;='Decision Summary'!$B$11,FALSE)</x:f>
        <x:v>0</x:v>
      </x:c>
      <x:c r="N62" s="98" t="str">
        <x:f>IF(M62,"DRAFT INCLUDE","HOLD / EXCLUDE")</x:f>
        <x:v>HOLD / EXCLUDE</x:v>
      </x:c>
      <x:c r="O62" s="101" t="str">
        <x:f>IF(M62,C62,"")</x:f>
      </x:c>
      <x:c r="P62" s="98" t="str">
        <x:f>IF(N62="DRAFT INCLUDE",ROUNDUP(COUNTIF($N$6:N62,"DRAFT INCLUDE")/'Decision Summary'!$B$12,0),"")</x:f>
      </x:c>
      <x:c r="Q62" s="98" t="str">
        <x:f>IF(N62="DRAFT INCLUDE",MOD(COUNTIF($N$6:N62,"DRAFT INCLUDE")-1,'Decision Summary'!$B$12)+1,"")</x:f>
      </x:c>
      <x:c r="R62" s="98" t="str">
        <x:v>PENDING</x:v>
      </x:c>
      <x:c r="S62" s="98" t="str"/>
      <x:c r="T62" s="98" t="str">
        <x:v>Exchange deposit addresses must not receive V2 without a signed alternate-destination instruction and custody review.</x:v>
      </x:c>
      <x:c r="U62" s="89" t="str">
        <x:v>https://etherscan.io/token/0x445d03f499f1c150615957bb87588fb465fc91cc#balances</x:v>
      </x:c>
      <x:c r="V62" s="89" t="b">
        <x:f>COUNTIF($C$6:$C$502,C62)&gt;1</x:f>
        <x:v>0</x:v>
      </x:c>
    </x:row>
    <x:row r="63">
      <x:c r="A63" s="89" t="n">
        <x:v>58</x:v>
      </x:c>
      <x:c r="B63" s="89" t="str">
        <x:v>v1-mainnet-0058</x:v>
      </x:c>
      <x:c r="C63" s="90" t="str">
        <x:v>0x2bca518196db0a38ed16b7596ef2335d6d5af074</x:v>
      </x:c>
      <x:c r="D63" s="98" t="str"/>
      <x:c r="E63" s="98" t="str">
        <x:v>EOA_CANDIDATE</x:v>
      </x:c>
      <x:c r="F63" s="91" t="b">
        <x:v>0</x:v>
      </x:c>
      <x:c r="G63" s="89" t="n">
        <x:v>0</x:v>
      </x:c>
      <x:c r="H63" s="90" t="str">
        <x:v>50000000000000</x:v>
      </x:c>
      <x:c r="I63" s="92" t="n">
        <x:v>50</x:v>
      </x:c>
      <x:c r="J63" s="92" t="str">
        <x:v>50000000000000000000</x:v>
      </x:c>
      <x:c r="K63" s="92" t="n">
        <x:v>50</x:v>
      </x:c>
      <x:c r="L63" s="98" t="str">
        <x:v>PENDING_OWNER_ELIGIBILITY_APPROVAL</x:v>
      </x:c>
      <x:c r="M63" s="98" t="b">
        <x:f>IF(E63="EOA_CANDIDATE",I63&gt;='Decision Summary'!$B$11,FALSE)</x:f>
        <x:v>0</x:v>
      </x:c>
      <x:c r="N63" s="98" t="str">
        <x:f>IF(M63,"DRAFT INCLUDE","HOLD / EXCLUDE")</x:f>
        <x:v>HOLD / EXCLUDE</x:v>
      </x:c>
      <x:c r="O63" s="101" t="str">
        <x:f>IF(M63,C63,"")</x:f>
      </x:c>
      <x:c r="P63" s="98" t="str">
        <x:f>IF(N63="DRAFT INCLUDE",ROUNDUP(COUNTIF($N$6:N63,"DRAFT INCLUDE")/'Decision Summary'!$B$12,0),"")</x:f>
      </x:c>
      <x:c r="Q63" s="98" t="str">
        <x:f>IF(N63="DRAFT INCLUDE",MOD(COUNTIF($N$6:N63,"DRAFT INCLUDE")-1,'Decision Summary'!$B$12)+1,"")</x:f>
      </x:c>
      <x:c r="R63" s="98" t="str">
        <x:v>PENDING</x:v>
      </x:c>
      <x:c r="S63" s="98" t="str"/>
      <x:c r="T63" s="98" t="str">
        <x:v>Ordinary EOA candidate; inclusion still depends on V1 deprecation, threshold policy and owner approval.</x:v>
      </x:c>
      <x:c r="U63" s="89" t="str">
        <x:v>https://etherscan.io/token/0x445d03f499f1c150615957bb87588fb465fc91cc#balances</x:v>
      </x:c>
      <x:c r="V63" s="89" t="b">
        <x:f>COUNTIF($C$6:$C$502,C63)&gt;1</x:f>
        <x:v>0</x:v>
      </x:c>
    </x:row>
    <x:row r="64">
      <x:c r="A64" s="89" t="n">
        <x:v>59</x:v>
      </x:c>
      <x:c r="B64" s="89" t="str">
        <x:v>v1-mainnet-0059</x:v>
      </x:c>
      <x:c r="C64" s="90" t="str">
        <x:v>0x0bc85890b24d272b4cdec3d11b6f74826d052da7</x:v>
      </x:c>
      <x:c r="D64" s="98" t="str"/>
      <x:c r="E64" s="98" t="str">
        <x:v>EOA_CANDIDATE</x:v>
      </x:c>
      <x:c r="F64" s="91" t="b">
        <x:v>0</x:v>
      </x:c>
      <x:c r="G64" s="89" t="n">
        <x:v>0</x:v>
      </x:c>
      <x:c r="H64" s="90" t="str">
        <x:v>43542978992874</x:v>
      </x:c>
      <x:c r="I64" s="92" t="n">
        <x:v>43.542978992874</x:v>
      </x:c>
      <x:c r="J64" s="92" t="str">
        <x:v>43542978992874000000</x:v>
      </x:c>
      <x:c r="K64" s="92" t="n">
        <x:v>43.542978992874</x:v>
      </x:c>
      <x:c r="L64" s="98" t="str">
        <x:v>PENDING_OWNER_ELIGIBILITY_APPROVAL</x:v>
      </x:c>
      <x:c r="M64" s="98" t="b">
        <x:f>IF(E64="EOA_CANDIDATE",I64&gt;='Decision Summary'!$B$11,FALSE)</x:f>
        <x:v>0</x:v>
      </x:c>
      <x:c r="N64" s="98" t="str">
        <x:f>IF(M64,"DRAFT INCLUDE","HOLD / EXCLUDE")</x:f>
        <x:v>HOLD / EXCLUDE</x:v>
      </x:c>
      <x:c r="O64" s="101" t="str">
        <x:f>IF(M64,C64,"")</x:f>
      </x:c>
      <x:c r="P64" s="98" t="str">
        <x:f>IF(N64="DRAFT INCLUDE",ROUNDUP(COUNTIF($N$6:N64,"DRAFT INCLUDE")/'Decision Summary'!$B$12,0),"")</x:f>
      </x:c>
      <x:c r="Q64" s="98" t="str">
        <x:f>IF(N64="DRAFT INCLUDE",MOD(COUNTIF($N$6:N64,"DRAFT INCLUDE")-1,'Decision Summary'!$B$12)+1,"")</x:f>
      </x:c>
      <x:c r="R64" s="98" t="str">
        <x:v>PENDING</x:v>
      </x:c>
      <x:c r="S64" s="98" t="str"/>
      <x:c r="T64" s="98" t="str">
        <x:v>Ordinary EOA candidate; inclusion still depends on V1 deprecation, threshold policy and owner approval.</x:v>
      </x:c>
      <x:c r="U64" s="89" t="str">
        <x:v>https://etherscan.io/token/0x445d03f499f1c150615957bb87588fb465fc91cc#balances</x:v>
      </x:c>
      <x:c r="V64" s="89" t="b">
        <x:f>COUNTIF($C$6:$C$502,C64)&gt;1</x:f>
        <x:v>0</x:v>
      </x:c>
    </x:row>
    <x:row r="65">
      <x:c r="A65" s="89" t="n">
        <x:v>60</x:v>
      </x:c>
      <x:c r="B65" s="89" t="str">
        <x:v>v1-mainnet-0060</x:v>
      </x:c>
      <x:c r="C65" s="90" t="str">
        <x:v>0x82704413c95ecdf34e5e619b75f06d77ce6ee578</x:v>
      </x:c>
      <x:c r="D65" s="98" t="str"/>
      <x:c r="E65" s="98" t="str">
        <x:v>EOA_CANDIDATE</x:v>
      </x:c>
      <x:c r="F65" s="91" t="b">
        <x:v>0</x:v>
      </x:c>
      <x:c r="G65" s="89" t="n">
        <x:v>0</x:v>
      </x:c>
      <x:c r="H65" s="90" t="str">
        <x:v>39668200000000</x:v>
      </x:c>
      <x:c r="I65" s="92" t="n">
        <x:v>39.6682</x:v>
      </x:c>
      <x:c r="J65" s="92" t="str">
        <x:v>39668200000000000000</x:v>
      </x:c>
      <x:c r="K65" s="92" t="n">
        <x:v>39.6682</x:v>
      </x:c>
      <x:c r="L65" s="98" t="str">
        <x:v>PENDING_OWNER_ELIGIBILITY_APPROVAL</x:v>
      </x:c>
      <x:c r="M65" s="98" t="b">
        <x:f>IF(E65="EOA_CANDIDATE",I65&gt;='Decision Summary'!$B$11,FALSE)</x:f>
        <x:v>0</x:v>
      </x:c>
      <x:c r="N65" s="98" t="str">
        <x:f>IF(M65,"DRAFT INCLUDE","HOLD / EXCLUDE")</x:f>
        <x:v>HOLD / EXCLUDE</x:v>
      </x:c>
      <x:c r="O65" s="101" t="str">
        <x:f>IF(M65,C65,"")</x:f>
      </x:c>
      <x:c r="P65" s="98" t="str">
        <x:f>IF(N65="DRAFT INCLUDE",ROUNDUP(COUNTIF($N$6:N65,"DRAFT INCLUDE")/'Decision Summary'!$B$12,0),"")</x:f>
      </x:c>
      <x:c r="Q65" s="98" t="str">
        <x:f>IF(N65="DRAFT INCLUDE",MOD(COUNTIF($N$6:N65,"DRAFT INCLUDE")-1,'Decision Summary'!$B$12)+1,"")</x:f>
      </x:c>
      <x:c r="R65" s="98" t="str">
        <x:v>PENDING</x:v>
      </x:c>
      <x:c r="S65" s="98" t="str"/>
      <x:c r="T65" s="98" t="str">
        <x:v>Ordinary EOA candidate; inclusion still depends on V1 deprecation, threshold policy and owner approval.</x:v>
      </x:c>
      <x:c r="U65" s="89" t="str">
        <x:v>https://etherscan.io/token/0x445d03f499f1c150615957bb87588fb465fc91cc#balances</x:v>
      </x:c>
      <x:c r="V65" s="89" t="b">
        <x:f>COUNTIF($C$6:$C$502,C65)&gt;1</x:f>
        <x:v>0</x:v>
      </x:c>
    </x:row>
    <x:row r="66">
      <x:c r="A66" s="89" t="n">
        <x:v>61</x:v>
      </x:c>
      <x:c r="B66" s="89" t="str">
        <x:v>v1-mainnet-0061</x:v>
      </x:c>
      <x:c r="C66" s="90" t="str">
        <x:v>0x44c189d5f02a755081bef5e1cd5b871783b45b3a</x:v>
      </x:c>
      <x:c r="D66" s="98" t="str"/>
      <x:c r="E66" s="98" t="str">
        <x:v>EOA_CANDIDATE</x:v>
      </x:c>
      <x:c r="F66" s="91" t="b">
        <x:v>0</x:v>
      </x:c>
      <x:c r="G66" s="89" t="n">
        <x:v>0</x:v>
      </x:c>
      <x:c r="H66" s="90" t="str">
        <x:v>37887968030000</x:v>
      </x:c>
      <x:c r="I66" s="92" t="n">
        <x:v>37.88796803</x:v>
      </x:c>
      <x:c r="J66" s="92" t="str">
        <x:v>37887968030000000000</x:v>
      </x:c>
      <x:c r="K66" s="92" t="n">
        <x:v>37.88796803</x:v>
      </x:c>
      <x:c r="L66" s="98" t="str">
        <x:v>PENDING_OWNER_ELIGIBILITY_APPROVAL</x:v>
      </x:c>
      <x:c r="M66" s="98" t="b">
        <x:f>IF(E66="EOA_CANDIDATE",I66&gt;='Decision Summary'!$B$11,FALSE)</x:f>
        <x:v>0</x:v>
      </x:c>
      <x:c r="N66" s="98" t="str">
        <x:f>IF(M66,"DRAFT INCLUDE","HOLD / EXCLUDE")</x:f>
        <x:v>HOLD / EXCLUDE</x:v>
      </x:c>
      <x:c r="O66" s="101" t="str">
        <x:f>IF(M66,C66,"")</x:f>
      </x:c>
      <x:c r="P66" s="98" t="str">
        <x:f>IF(N66="DRAFT INCLUDE",ROUNDUP(COUNTIF($N$6:N66,"DRAFT INCLUDE")/'Decision Summary'!$B$12,0),"")</x:f>
      </x:c>
      <x:c r="Q66" s="98" t="str">
        <x:f>IF(N66="DRAFT INCLUDE",MOD(COUNTIF($N$6:N66,"DRAFT INCLUDE")-1,'Decision Summary'!$B$12)+1,"")</x:f>
      </x:c>
      <x:c r="R66" s="98" t="str">
        <x:v>PENDING</x:v>
      </x:c>
      <x:c r="S66" s="98" t="str"/>
      <x:c r="T66" s="98" t="str">
        <x:v>Ordinary EOA candidate; inclusion still depends on V1 deprecation, threshold policy and owner approval.</x:v>
      </x:c>
      <x:c r="U66" s="89" t="str">
        <x:v>https://etherscan.io/token/0x445d03f499f1c150615957bb87588fb465fc91cc#balances</x:v>
      </x:c>
      <x:c r="V66" s="89" t="b">
        <x:f>COUNTIF($C$6:$C$502,C66)&gt;1</x:f>
        <x:v>0</x:v>
      </x:c>
    </x:row>
    <x:row r="67">
      <x:c r="A67" s="89" t="n">
        <x:v>62</x:v>
      </x:c>
      <x:c r="B67" s="89" t="str">
        <x:v>v1-mainnet-0062</x:v>
      </x:c>
      <x:c r="C67" s="90" t="str">
        <x:v>0x0c8c2333cebfe716bdd7498209c30640e49406cd</x:v>
      </x:c>
      <x:c r="D67" s="98" t="str"/>
      <x:c r="E67" s="98" t="str">
        <x:v>EOA_CANDIDATE</x:v>
      </x:c>
      <x:c r="F67" s="91" t="b">
        <x:v>0</x:v>
      </x:c>
      <x:c r="G67" s="89" t="n">
        <x:v>0</x:v>
      </x:c>
      <x:c r="H67" s="90" t="str">
        <x:v>32186180000000</x:v>
      </x:c>
      <x:c r="I67" s="92" t="n">
        <x:v>32.18618</x:v>
      </x:c>
      <x:c r="J67" s="92" t="str">
        <x:v>32186180000000000000</x:v>
      </x:c>
      <x:c r="K67" s="92" t="n">
        <x:v>32.18618</x:v>
      </x:c>
      <x:c r="L67" s="98" t="str">
        <x:v>PENDING_OWNER_ELIGIBILITY_APPROVAL</x:v>
      </x:c>
      <x:c r="M67" s="98" t="b">
        <x:f>IF(E67="EOA_CANDIDATE",I67&gt;='Decision Summary'!$B$11,FALSE)</x:f>
        <x:v>0</x:v>
      </x:c>
      <x:c r="N67" s="98" t="str">
        <x:f>IF(M67,"DRAFT INCLUDE","HOLD / EXCLUDE")</x:f>
        <x:v>HOLD / EXCLUDE</x:v>
      </x:c>
      <x:c r="O67" s="101" t="str">
        <x:f>IF(M67,C67,"")</x:f>
      </x:c>
      <x:c r="P67" s="98" t="str">
        <x:f>IF(N67="DRAFT INCLUDE",ROUNDUP(COUNTIF($N$6:N67,"DRAFT INCLUDE")/'Decision Summary'!$B$12,0),"")</x:f>
      </x:c>
      <x:c r="Q67" s="98" t="str">
        <x:f>IF(N67="DRAFT INCLUDE",MOD(COUNTIF($N$6:N67,"DRAFT INCLUDE")-1,'Decision Summary'!$B$12)+1,"")</x:f>
      </x:c>
      <x:c r="R67" s="98" t="str">
        <x:v>PENDING</x:v>
      </x:c>
      <x:c r="S67" s="98" t="str"/>
      <x:c r="T67" s="98" t="str">
        <x:v>Ordinary EOA candidate; inclusion still depends on V1 deprecation, threshold policy and owner approval.</x:v>
      </x:c>
      <x:c r="U67" s="89" t="str">
        <x:v>https://etherscan.io/token/0x445d03f499f1c150615957bb87588fb465fc91cc#balances</x:v>
      </x:c>
      <x:c r="V67" s="89" t="b">
        <x:f>COUNTIF($C$6:$C$502,C67)&gt;1</x:f>
        <x:v>0</x:v>
      </x:c>
    </x:row>
    <x:row r="68">
      <x:c r="A68" s="89" t="n">
        <x:v>63</x:v>
      </x:c>
      <x:c r="B68" s="89" t="str">
        <x:v>v1-mainnet-0063</x:v>
      </x:c>
      <x:c r="C68" s="90" t="str">
        <x:v>0x4c71c9622d884854c48e00239538da5305c3f810</x:v>
      </x:c>
      <x:c r="D68" s="98" t="str"/>
      <x:c r="E68" s="98" t="str">
        <x:v>EOA_CANDIDATE</x:v>
      </x:c>
      <x:c r="F68" s="91" t="b">
        <x:v>0</x:v>
      </x:c>
      <x:c r="G68" s="89" t="n">
        <x:v>0</x:v>
      </x:c>
      <x:c r="H68" s="90" t="str">
        <x:v>30000000000000</x:v>
      </x:c>
      <x:c r="I68" s="92" t="n">
        <x:v>30</x:v>
      </x:c>
      <x:c r="J68" s="92" t="str">
        <x:v>30000000000000000000</x:v>
      </x:c>
      <x:c r="K68" s="92" t="n">
        <x:v>30</x:v>
      </x:c>
      <x:c r="L68" s="98" t="str">
        <x:v>PENDING_OWNER_ELIGIBILITY_APPROVAL</x:v>
      </x:c>
      <x:c r="M68" s="98" t="b">
        <x:f>IF(E68="EOA_CANDIDATE",I68&gt;='Decision Summary'!$B$11,FALSE)</x:f>
        <x:v>0</x:v>
      </x:c>
      <x:c r="N68" s="98" t="str">
        <x:f>IF(M68,"DRAFT INCLUDE","HOLD / EXCLUDE")</x:f>
        <x:v>HOLD / EXCLUDE</x:v>
      </x:c>
      <x:c r="O68" s="101" t="str">
        <x:f>IF(M68,C68,"")</x:f>
      </x:c>
      <x:c r="P68" s="98" t="str">
        <x:f>IF(N68="DRAFT INCLUDE",ROUNDUP(COUNTIF($N$6:N68,"DRAFT INCLUDE")/'Decision Summary'!$B$12,0),"")</x:f>
      </x:c>
      <x:c r="Q68" s="98" t="str">
        <x:f>IF(N68="DRAFT INCLUDE",MOD(COUNTIF($N$6:N68,"DRAFT INCLUDE")-1,'Decision Summary'!$B$12)+1,"")</x:f>
      </x:c>
      <x:c r="R68" s="98" t="str">
        <x:v>PENDING</x:v>
      </x:c>
      <x:c r="S68" s="98" t="str"/>
      <x:c r="T68" s="98" t="str">
        <x:v>Ordinary EOA candidate; inclusion still depends on V1 deprecation, threshold policy and owner approval.</x:v>
      </x:c>
      <x:c r="U68" s="89" t="str">
        <x:v>https://etherscan.io/token/0x445d03f499f1c150615957bb87588fb465fc91cc#balances</x:v>
      </x:c>
      <x:c r="V68" s="89" t="b">
        <x:f>COUNTIF($C$6:$C$502,C68)&gt;1</x:f>
        <x:v>0</x:v>
      </x:c>
    </x:row>
    <x:row r="69">
      <x:c r="A69" s="89" t="n">
        <x:v>64</x:v>
      </x:c>
      <x:c r="B69" s="89" t="str">
        <x:v>v1-mainnet-0064</x:v>
      </x:c>
      <x:c r="C69" s="90" t="str">
        <x:v>0x4f27bfccd67508a98e5a32d0a8cdc2738af110b9</x:v>
      </x:c>
      <x:c r="D69" s="98" t="str"/>
      <x:c r="E69" s="98" t="str">
        <x:v>EOA_CANDIDATE</x:v>
      </x:c>
      <x:c r="F69" s="91" t="b">
        <x:v>0</x:v>
      </x:c>
      <x:c r="G69" s="89" t="n">
        <x:v>0</x:v>
      </x:c>
      <x:c r="H69" s="90" t="str">
        <x:v>29000000000000</x:v>
      </x:c>
      <x:c r="I69" s="92" t="n">
        <x:v>29</x:v>
      </x:c>
      <x:c r="J69" s="92" t="str">
        <x:v>29000000000000000000</x:v>
      </x:c>
      <x:c r="K69" s="92" t="n">
        <x:v>29</x:v>
      </x:c>
      <x:c r="L69" s="98" t="str">
        <x:v>PENDING_OWNER_ELIGIBILITY_APPROVAL</x:v>
      </x:c>
      <x:c r="M69" s="98" t="b">
        <x:f>IF(E69="EOA_CANDIDATE",I69&gt;='Decision Summary'!$B$11,FALSE)</x:f>
        <x:v>0</x:v>
      </x:c>
      <x:c r="N69" s="98" t="str">
        <x:f>IF(M69,"DRAFT INCLUDE","HOLD / EXCLUDE")</x:f>
        <x:v>HOLD / EXCLUDE</x:v>
      </x:c>
      <x:c r="O69" s="101" t="str">
        <x:f>IF(M69,C69,"")</x:f>
      </x:c>
      <x:c r="P69" s="98" t="str">
        <x:f>IF(N69="DRAFT INCLUDE",ROUNDUP(COUNTIF($N$6:N69,"DRAFT INCLUDE")/'Decision Summary'!$B$12,0),"")</x:f>
      </x:c>
      <x:c r="Q69" s="98" t="str">
        <x:f>IF(N69="DRAFT INCLUDE",MOD(COUNTIF($N$6:N69,"DRAFT INCLUDE")-1,'Decision Summary'!$B$12)+1,"")</x:f>
      </x:c>
      <x:c r="R69" s="98" t="str">
        <x:v>PENDING</x:v>
      </x:c>
      <x:c r="S69" s="98" t="str"/>
      <x:c r="T69" s="98" t="str">
        <x:v>Ordinary EOA candidate; inclusion still depends on V1 deprecation, threshold policy and owner approval.</x:v>
      </x:c>
      <x:c r="U69" s="89" t="str">
        <x:v>https://etherscan.io/token/0x445d03f499f1c150615957bb87588fb465fc91cc#balances</x:v>
      </x:c>
      <x:c r="V69" s="89" t="b">
        <x:f>COUNTIF($C$6:$C$502,C69)&gt;1</x:f>
        <x:v>0</x:v>
      </x:c>
    </x:row>
    <x:row r="70">
      <x:c r="A70" s="89" t="n">
        <x:v>65</x:v>
      </x:c>
      <x:c r="B70" s="89" t="str">
        <x:v>v1-mainnet-0065</x:v>
      </x:c>
      <x:c r="C70" s="90" t="str">
        <x:v>0x473c255acce8a8c9547c0dec063395d9a33e0162</x:v>
      </x:c>
      <x:c r="D70" s="98" t="str">
        <x:v>Binance Dep: 0x473c255acCE8A8C9547c0DeC063395d9a33E0162</x:v>
      </x:c>
      <x:c r="E70" s="98" t="str">
        <x:v>CUSTODIAL_EXCHANGE_DEPOSIT</x:v>
      </x:c>
      <x:c r="F70" s="91" t="b">
        <x:v>0</x:v>
      </x:c>
      <x:c r="G70" s="89" t="n">
        <x:v>0</x:v>
      </x:c>
      <x:c r="H70" s="90" t="str">
        <x:v>28452680000000</x:v>
      </x:c>
      <x:c r="I70" s="92" t="n">
        <x:v>28.45268</x:v>
      </x:c>
      <x:c r="J70" s="92" t="str">
        <x:v>28452680000000000000</x:v>
      </x:c>
      <x:c r="K70" s="92" t="n">
        <x:v>28.45268</x:v>
      </x:c>
      <x:c r="L70" s="98" t="str">
        <x:v>HOLD_DESTINATION_PROOF_REQUIRED</x:v>
      </x:c>
      <x:c r="M70" s="98" t="b">
        <x:f>IF(E70="EOA_CANDIDATE",I70&gt;='Decision Summary'!$B$11,FALSE)</x:f>
        <x:v>0</x:v>
      </x:c>
      <x:c r="N70" s="98" t="str">
        <x:f>IF(M70,"DRAFT INCLUDE","HOLD / EXCLUDE")</x:f>
        <x:v>HOLD / EXCLUDE</x:v>
      </x:c>
      <x:c r="O70" s="101" t="str">
        <x:f>IF(M70,C70,"")</x:f>
      </x:c>
      <x:c r="P70" s="98" t="str">
        <x:f>IF(N70="DRAFT INCLUDE",ROUNDUP(COUNTIF($N$6:N70,"DRAFT INCLUDE")/'Decision Summary'!$B$12,0),"")</x:f>
      </x:c>
      <x:c r="Q70" s="98" t="str">
        <x:f>IF(N70="DRAFT INCLUDE",MOD(COUNTIF($N$6:N70,"DRAFT INCLUDE")-1,'Decision Summary'!$B$12)+1,"")</x:f>
      </x:c>
      <x:c r="R70" s="98" t="str">
        <x:v>PENDING</x:v>
      </x:c>
      <x:c r="S70" s="98" t="str"/>
      <x:c r="T70" s="98" t="str">
        <x:v>Exchange deposit addresses must not receive V2 without a signed alternate-destination instruction and custody review.</x:v>
      </x:c>
      <x:c r="U70" s="89" t="str">
        <x:v>https://etherscan.io/token/0x445d03f499f1c150615957bb87588fb465fc91cc#balances</x:v>
      </x:c>
      <x:c r="V70" s="89" t="b">
        <x:f>COUNTIF($C$6:$C$502,C70)&gt;1</x:f>
        <x:v>0</x:v>
      </x:c>
    </x:row>
    <x:row r="71">
      <x:c r="A71" s="89" t="n">
        <x:v>66</x:v>
      </x:c>
      <x:c r="B71" s="89" t="str">
        <x:v>v1-mainnet-0066</x:v>
      </x:c>
      <x:c r="C71" s="90" t="str">
        <x:v>0x0b48140916820995df02a19c387d9301b89a85ce</x:v>
      </x:c>
      <x:c r="D71" s="98" t="str"/>
      <x:c r="E71" s="98" t="str">
        <x:v>EOA_CANDIDATE</x:v>
      </x:c>
      <x:c r="F71" s="91" t="b">
        <x:v>0</x:v>
      </x:c>
      <x:c r="G71" s="89" t="n">
        <x:v>0</x:v>
      </x:c>
      <x:c r="H71" s="90" t="str">
        <x:v>22000000000000</x:v>
      </x:c>
      <x:c r="I71" s="92" t="n">
        <x:v>22</x:v>
      </x:c>
      <x:c r="J71" s="92" t="str">
        <x:v>22000000000000000000</x:v>
      </x:c>
      <x:c r="K71" s="92" t="n">
        <x:v>22</x:v>
      </x:c>
      <x:c r="L71" s="98" t="str">
        <x:v>PENDING_OWNER_ELIGIBILITY_APPROVAL</x:v>
      </x:c>
      <x:c r="M71" s="98" t="b">
        <x:f>IF(E71="EOA_CANDIDATE",I71&gt;='Decision Summary'!$B$11,FALSE)</x:f>
        <x:v>0</x:v>
      </x:c>
      <x:c r="N71" s="98" t="str">
        <x:f>IF(M71,"DRAFT INCLUDE","HOLD / EXCLUDE")</x:f>
        <x:v>HOLD / EXCLUDE</x:v>
      </x:c>
      <x:c r="O71" s="101" t="str">
        <x:f>IF(M71,C71,"")</x:f>
      </x:c>
      <x:c r="P71" s="98" t="str">
        <x:f>IF(N71="DRAFT INCLUDE",ROUNDUP(COUNTIF($N$6:N71,"DRAFT INCLUDE")/'Decision Summary'!$B$12,0),"")</x:f>
      </x:c>
      <x:c r="Q71" s="98" t="str">
        <x:f>IF(N71="DRAFT INCLUDE",MOD(COUNTIF($N$6:N71,"DRAFT INCLUDE")-1,'Decision Summary'!$B$12)+1,"")</x:f>
      </x:c>
      <x:c r="R71" s="98" t="str">
        <x:v>PENDING</x:v>
      </x:c>
      <x:c r="S71" s="98" t="str"/>
      <x:c r="T71" s="98" t="str">
        <x:v>Ordinary EOA candidate; inclusion still depends on V1 deprecation, threshold policy and owner approval.</x:v>
      </x:c>
      <x:c r="U71" s="89" t="str">
        <x:v>https://etherscan.io/token/0x445d03f499f1c150615957bb87588fb465fc91cc#balances</x:v>
      </x:c>
      <x:c r="V71" s="89" t="b">
        <x:f>COUNTIF($C$6:$C$502,C71)&gt;1</x:f>
        <x:v>0</x:v>
      </x:c>
    </x:row>
    <x:row r="72">
      <x:c r="A72" s="89" t="n">
        <x:v>67</x:v>
      </x:c>
      <x:c r="B72" s="89" t="str">
        <x:v>v1-mainnet-0067</x:v>
      </x:c>
      <x:c r="C72" s="90" t="str">
        <x:v>0x5a43e3db3bc6979ac10ce25d3fb51d1fbb8b9f9f</x:v>
      </x:c>
      <x:c r="D72" s="98" t="str"/>
      <x:c r="E72" s="98" t="str">
        <x:v>EOA_CANDIDATE</x:v>
      </x:c>
      <x:c r="F72" s="91" t="b">
        <x:v>0</x:v>
      </x:c>
      <x:c r="G72" s="89" t="n">
        <x:v>0</x:v>
      </x:c>
      <x:c r="H72" s="90" t="str">
        <x:v>22000000000000</x:v>
      </x:c>
      <x:c r="I72" s="92" t="n">
        <x:v>22</x:v>
      </x:c>
      <x:c r="J72" s="92" t="str">
        <x:v>22000000000000000000</x:v>
      </x:c>
      <x:c r="K72" s="92" t="n">
        <x:v>22</x:v>
      </x:c>
      <x:c r="L72" s="98" t="str">
        <x:v>PENDING_OWNER_ELIGIBILITY_APPROVAL</x:v>
      </x:c>
      <x:c r="M72" s="98" t="b">
        <x:f>IF(E72="EOA_CANDIDATE",I72&gt;='Decision Summary'!$B$11,FALSE)</x:f>
        <x:v>0</x:v>
      </x:c>
      <x:c r="N72" s="98" t="str">
        <x:f>IF(M72,"DRAFT INCLUDE","HOLD / EXCLUDE")</x:f>
        <x:v>HOLD / EXCLUDE</x:v>
      </x:c>
      <x:c r="O72" s="101" t="str">
        <x:f>IF(M72,C72,"")</x:f>
      </x:c>
      <x:c r="P72" s="98" t="str">
        <x:f>IF(N72="DRAFT INCLUDE",ROUNDUP(COUNTIF($N$6:N72,"DRAFT INCLUDE")/'Decision Summary'!$B$12,0),"")</x:f>
      </x:c>
      <x:c r="Q72" s="98" t="str">
        <x:f>IF(N72="DRAFT INCLUDE",MOD(COUNTIF($N$6:N72,"DRAFT INCLUDE")-1,'Decision Summary'!$B$12)+1,"")</x:f>
      </x:c>
      <x:c r="R72" s="98" t="str">
        <x:v>PENDING</x:v>
      </x:c>
      <x:c r="S72" s="98" t="str"/>
      <x:c r="T72" s="98" t="str">
        <x:v>Ordinary EOA candidate; inclusion still depends on V1 deprecation, threshold policy and owner approval.</x:v>
      </x:c>
      <x:c r="U72" s="89" t="str">
        <x:v>https://etherscan.io/token/0x445d03f499f1c150615957bb87588fb465fc91cc#balances</x:v>
      </x:c>
      <x:c r="V72" s="89" t="b">
        <x:f>COUNTIF($C$6:$C$502,C72)&gt;1</x:f>
        <x:v>0</x:v>
      </x:c>
    </x:row>
    <x:row r="73">
      <x:c r="A73" s="89" t="n">
        <x:v>68</x:v>
      </x:c>
      <x:c r="B73" s="89" t="str">
        <x:v>v1-mainnet-0068</x:v>
      </x:c>
      <x:c r="C73" s="90" t="str">
        <x:v>0x1f059b7c86c293c27699c67376be0d525b03ef48</x:v>
      </x:c>
      <x:c r="D73" s="98" t="str"/>
      <x:c r="E73" s="98" t="str">
        <x:v>EOA_CANDIDATE</x:v>
      </x:c>
      <x:c r="F73" s="91" t="b">
        <x:v>0</x:v>
      </x:c>
      <x:c r="G73" s="89" t="n">
        <x:v>0</x:v>
      </x:c>
      <x:c r="H73" s="90" t="str">
        <x:v>20000000000000</x:v>
      </x:c>
      <x:c r="I73" s="92" t="n">
        <x:v>20</x:v>
      </x:c>
      <x:c r="J73" s="92" t="str">
        <x:v>20000000000000000000</x:v>
      </x:c>
      <x:c r="K73" s="92" t="n">
        <x:v>20</x:v>
      </x:c>
      <x:c r="L73" s="98" t="str">
        <x:v>PENDING_OWNER_ELIGIBILITY_APPROVAL</x:v>
      </x:c>
      <x:c r="M73" s="98" t="b">
        <x:f>IF(E73="EOA_CANDIDATE",I73&gt;='Decision Summary'!$B$11,FALSE)</x:f>
        <x:v>0</x:v>
      </x:c>
      <x:c r="N73" s="98" t="str">
        <x:f>IF(M73,"DRAFT INCLUDE","HOLD / EXCLUDE")</x:f>
        <x:v>HOLD / EXCLUDE</x:v>
      </x:c>
      <x:c r="O73" s="101" t="str">
        <x:f>IF(M73,C73,"")</x:f>
      </x:c>
      <x:c r="P73" s="98" t="str">
        <x:f>IF(N73="DRAFT INCLUDE",ROUNDUP(COUNTIF($N$6:N73,"DRAFT INCLUDE")/'Decision Summary'!$B$12,0),"")</x:f>
      </x:c>
      <x:c r="Q73" s="98" t="str">
        <x:f>IF(N73="DRAFT INCLUDE",MOD(COUNTIF($N$6:N73,"DRAFT INCLUDE")-1,'Decision Summary'!$B$12)+1,"")</x:f>
      </x:c>
      <x:c r="R73" s="98" t="str">
        <x:v>PENDING</x:v>
      </x:c>
      <x:c r="S73" s="98" t="str"/>
      <x:c r="T73" s="98" t="str">
        <x:v>Ordinary EOA candidate; inclusion still depends on V1 deprecation, threshold policy and owner approval.</x:v>
      </x:c>
      <x:c r="U73" s="89" t="str">
        <x:v>https://etherscan.io/token/0x445d03f499f1c150615957bb87588fb465fc91cc#balances</x:v>
      </x:c>
      <x:c r="V73" s="89" t="b">
        <x:f>COUNTIF($C$6:$C$502,C73)&gt;1</x:f>
        <x:v>0</x:v>
      </x:c>
    </x:row>
    <x:row r="74">
      <x:c r="A74" s="89" t="n">
        <x:v>69</x:v>
      </x:c>
      <x:c r="B74" s="89" t="str">
        <x:v>v1-mainnet-0069</x:v>
      </x:c>
      <x:c r="C74" s="90" t="str">
        <x:v>0x51f61291d4bbf9666b91cb68618a73b8f47024de</x:v>
      </x:c>
      <x:c r="D74" s="98" t="str"/>
      <x:c r="E74" s="98" t="str">
        <x:v>EIP7702_DELEGATED_ACCOUNT</x:v>
      </x:c>
      <x:c r="F74" s="91" t="b">
        <x:v>1</x:v>
      </x:c>
      <x:c r="G74" s="89" t="n">
        <x:v>23</x:v>
      </x:c>
      <x:c r="H74" s="90" t="str">
        <x:v>19396119810000</x:v>
      </x:c>
      <x:c r="I74" s="92" t="n">
        <x:v>19.39611981</x:v>
      </x:c>
      <x:c r="J74" s="92" t="str">
        <x:v>19396119810000000000</x:v>
      </x:c>
      <x:c r="K74" s="92" t="n">
        <x:v>19.39611981</x:v>
      </x:c>
      <x:c r="L74" s="98" t="str">
        <x:v>HOLD_ACCOUNT_CONTROL_REVIEW</x:v>
      </x:c>
      <x:c r="M74" s="98" t="b">
        <x:f>IF(E74="EOA_CANDIDATE",I74&gt;='Decision Summary'!$B$11,FALSE)</x:f>
        <x:v>0</x:v>
      </x:c>
      <x:c r="N74" s="98" t="str">
        <x:f>IF(M74,"DRAFT INCLUDE","HOLD / EXCLUDE")</x:f>
        <x:v>HOLD / EXCLUDE</x:v>
      </x:c>
      <x:c r="O74" s="101" t="str">
        <x:f>IF(M74,C74,"")</x:f>
      </x:c>
      <x:c r="P74" s="98" t="str">
        <x:f>IF(N74="DRAFT INCLUDE",ROUNDUP(COUNTIF($N$6:N74,"DRAFT INCLUDE")/'Decision Summary'!$B$12,0),"")</x:f>
      </x:c>
      <x:c r="Q74" s="98" t="str">
        <x:f>IF(N74="DRAFT INCLUDE",MOD(COUNTIF($N$6:N74,"DRAFT INCLUDE")-1,'Decision Summary'!$B$12)+1,"")</x:f>
      </x:c>
      <x:c r="R74" s="98" t="str">
        <x:v>PENDING</x:v>
      </x:c>
      <x:c r="S74" s="98" t="str"/>
      <x:c r="T74" s="98" t="str">
        <x:v>23-byte delegated account code requires control and destination review before inclusion.</x:v>
      </x:c>
      <x:c r="U74" s="89" t="str">
        <x:v>https://etherscan.io/token/0x445d03f499f1c150615957bb87588fb465fc91cc#balances</x:v>
      </x:c>
      <x:c r="V74" s="89" t="b">
        <x:f>COUNTIF($C$6:$C$502,C74)&gt;1</x:f>
        <x:v>0</x:v>
      </x:c>
    </x:row>
    <x:row r="75">
      <x:c r="A75" s="89" t="n">
        <x:v>70</x:v>
      </x:c>
      <x:c r="B75" s="89" t="str">
        <x:v>v1-mainnet-0070</x:v>
      </x:c>
      <x:c r="C75" s="90" t="str">
        <x:v>0x9863694f4ef5417be7063145cad7c7e9d5518247</x:v>
      </x:c>
      <x:c r="D75" s="98" t="str"/>
      <x:c r="E75" s="98" t="str">
        <x:v>EOA_CANDIDATE</x:v>
      </x:c>
      <x:c r="F75" s="91" t="b">
        <x:v>0</x:v>
      </x:c>
      <x:c r="G75" s="89" t="n">
        <x:v>0</x:v>
      </x:c>
      <x:c r="H75" s="90" t="str">
        <x:v>17277361947033</x:v>
      </x:c>
      <x:c r="I75" s="92" t="n">
        <x:v>17.277361947033</x:v>
      </x:c>
      <x:c r="J75" s="92" t="str">
        <x:v>17277361947033000000</x:v>
      </x:c>
      <x:c r="K75" s="92" t="n">
        <x:v>17.277361947033</x:v>
      </x:c>
      <x:c r="L75" s="98" t="str">
        <x:v>PENDING_OWNER_ELIGIBILITY_APPROVAL</x:v>
      </x:c>
      <x:c r="M75" s="98" t="b">
        <x:f>IF(E75="EOA_CANDIDATE",I75&gt;='Decision Summary'!$B$11,FALSE)</x:f>
        <x:v>0</x:v>
      </x:c>
      <x:c r="N75" s="98" t="str">
        <x:f>IF(M75,"DRAFT INCLUDE","HOLD / EXCLUDE")</x:f>
        <x:v>HOLD / EXCLUDE</x:v>
      </x:c>
      <x:c r="O75" s="101" t="str">
        <x:f>IF(M75,C75,"")</x:f>
      </x:c>
      <x:c r="P75" s="98" t="str">
        <x:f>IF(N75="DRAFT INCLUDE",ROUNDUP(COUNTIF($N$6:N75,"DRAFT INCLUDE")/'Decision Summary'!$B$12,0),"")</x:f>
      </x:c>
      <x:c r="Q75" s="98" t="str">
        <x:f>IF(N75="DRAFT INCLUDE",MOD(COUNTIF($N$6:N75,"DRAFT INCLUDE")-1,'Decision Summary'!$B$12)+1,"")</x:f>
      </x:c>
      <x:c r="R75" s="98" t="str">
        <x:v>PENDING</x:v>
      </x:c>
      <x:c r="S75" s="98" t="str"/>
      <x:c r="T75" s="98" t="str">
        <x:v>Ordinary EOA candidate; inclusion still depends on V1 deprecation, threshold policy and owner approval.</x:v>
      </x:c>
      <x:c r="U75" s="89" t="str">
        <x:v>https://etherscan.io/token/0x445d03f499f1c150615957bb87588fb465fc91cc#balances</x:v>
      </x:c>
      <x:c r="V75" s="89" t="b">
        <x:f>COUNTIF($C$6:$C$502,C75)&gt;1</x:f>
        <x:v>0</x:v>
      </x:c>
    </x:row>
    <x:row r="76">
      <x:c r="A76" s="89" t="n">
        <x:v>71</x:v>
      </x:c>
      <x:c r="B76" s="89" t="str">
        <x:v>v1-mainnet-0071</x:v>
      </x:c>
      <x:c r="C76" s="90" t="str">
        <x:v>0x28357849c3d8a88bb43e3e3860d7d7065903ff5b</x:v>
      </x:c>
      <x:c r="D76" s="98" t="str"/>
      <x:c r="E76" s="98" t="str">
        <x:v>EOA_CANDIDATE</x:v>
      </x:c>
      <x:c r="F76" s="91" t="b">
        <x:v>0</x:v>
      </x:c>
      <x:c r="G76" s="89" t="n">
        <x:v>0</x:v>
      </x:c>
      <x:c r="H76" s="90" t="str">
        <x:v>15922400000000</x:v>
      </x:c>
      <x:c r="I76" s="92" t="n">
        <x:v>15.9224</x:v>
      </x:c>
      <x:c r="J76" s="92" t="str">
        <x:v>15922400000000000000</x:v>
      </x:c>
      <x:c r="K76" s="92" t="n">
        <x:v>15.9224</x:v>
      </x:c>
      <x:c r="L76" s="98" t="str">
        <x:v>PENDING_OWNER_ELIGIBILITY_APPROVAL</x:v>
      </x:c>
      <x:c r="M76" s="98" t="b">
        <x:f>IF(E76="EOA_CANDIDATE",I76&gt;='Decision Summary'!$B$11,FALSE)</x:f>
        <x:v>0</x:v>
      </x:c>
      <x:c r="N76" s="98" t="str">
        <x:f>IF(M76,"DRAFT INCLUDE","HOLD / EXCLUDE")</x:f>
        <x:v>HOLD / EXCLUDE</x:v>
      </x:c>
      <x:c r="O76" s="101" t="str">
        <x:f>IF(M76,C76,"")</x:f>
      </x:c>
      <x:c r="P76" s="98" t="str">
        <x:f>IF(N76="DRAFT INCLUDE",ROUNDUP(COUNTIF($N$6:N76,"DRAFT INCLUDE")/'Decision Summary'!$B$12,0),"")</x:f>
      </x:c>
      <x:c r="Q76" s="98" t="str">
        <x:f>IF(N76="DRAFT INCLUDE",MOD(COUNTIF($N$6:N76,"DRAFT INCLUDE")-1,'Decision Summary'!$B$12)+1,"")</x:f>
      </x:c>
      <x:c r="R76" s="98" t="str">
        <x:v>PENDING</x:v>
      </x:c>
      <x:c r="S76" s="98" t="str"/>
      <x:c r="T76" s="98" t="str">
        <x:v>Ordinary EOA candidate; inclusion still depends on V1 deprecation, threshold policy and owner approval.</x:v>
      </x:c>
      <x:c r="U76" s="89" t="str">
        <x:v>https://etherscan.io/token/0x445d03f499f1c150615957bb87588fb465fc91cc#balances</x:v>
      </x:c>
      <x:c r="V76" s="89" t="b">
        <x:f>COUNTIF($C$6:$C$502,C76)&gt;1</x:f>
        <x:v>0</x:v>
      </x:c>
    </x:row>
    <x:row r="77">
      <x:c r="A77" s="89" t="n">
        <x:v>72</x:v>
      </x:c>
      <x:c r="B77" s="89" t="str">
        <x:v>v1-mainnet-0072</x:v>
      </x:c>
      <x:c r="C77" s="90" t="str">
        <x:v>0xbfbbcae4988adcc0d075fe7564e2dccd6d334ce4</x:v>
      </x:c>
      <x:c r="D77" s="98" t="str"/>
      <x:c r="E77" s="98" t="str">
        <x:v>EOA_CANDIDATE</x:v>
      </x:c>
      <x:c r="F77" s="91" t="b">
        <x:v>0</x:v>
      </x:c>
      <x:c r="G77" s="89" t="n">
        <x:v>0</x:v>
      </x:c>
      <x:c r="H77" s="90" t="str">
        <x:v>15000000000000</x:v>
      </x:c>
      <x:c r="I77" s="92" t="n">
        <x:v>15</x:v>
      </x:c>
      <x:c r="J77" s="92" t="str">
        <x:v>15000000000000000000</x:v>
      </x:c>
      <x:c r="K77" s="92" t="n">
        <x:v>15</x:v>
      </x:c>
      <x:c r="L77" s="98" t="str">
        <x:v>PENDING_OWNER_ELIGIBILITY_APPROVAL</x:v>
      </x:c>
      <x:c r="M77" s="98" t="b">
        <x:f>IF(E77="EOA_CANDIDATE",I77&gt;='Decision Summary'!$B$11,FALSE)</x:f>
        <x:v>0</x:v>
      </x:c>
      <x:c r="N77" s="98" t="str">
        <x:f>IF(M77,"DRAFT INCLUDE","HOLD / EXCLUDE")</x:f>
        <x:v>HOLD / EXCLUDE</x:v>
      </x:c>
      <x:c r="O77" s="101" t="str">
        <x:f>IF(M77,C77,"")</x:f>
      </x:c>
      <x:c r="P77" s="98" t="str">
        <x:f>IF(N77="DRAFT INCLUDE",ROUNDUP(COUNTIF($N$6:N77,"DRAFT INCLUDE")/'Decision Summary'!$B$12,0),"")</x:f>
      </x:c>
      <x:c r="Q77" s="98" t="str">
        <x:f>IF(N77="DRAFT INCLUDE",MOD(COUNTIF($N$6:N77,"DRAFT INCLUDE")-1,'Decision Summary'!$B$12)+1,"")</x:f>
      </x:c>
      <x:c r="R77" s="98" t="str">
        <x:v>PENDING</x:v>
      </x:c>
      <x:c r="S77" s="98" t="str"/>
      <x:c r="T77" s="98" t="str">
        <x:v>Ordinary EOA candidate; inclusion still depends on V1 deprecation, threshold policy and owner approval.</x:v>
      </x:c>
      <x:c r="U77" s="89" t="str">
        <x:v>https://etherscan.io/token/0x445d03f499f1c150615957bb87588fb465fc91cc#balances</x:v>
      </x:c>
      <x:c r="V77" s="89" t="b">
        <x:f>COUNTIF($C$6:$C$502,C77)&gt;1</x:f>
        <x:v>0</x:v>
      </x:c>
    </x:row>
    <x:row r="78">
      <x:c r="A78" s="89" t="n">
        <x:v>73</x:v>
      </x:c>
      <x:c r="B78" s="89" t="str">
        <x:v>v1-mainnet-0073</x:v>
      </x:c>
      <x:c r="C78" s="90" t="str">
        <x:v>0x09ada5d4494856a87c02892d44e41c713d70307b</x:v>
      </x:c>
      <x:c r="D78" s="98" t="str"/>
      <x:c r="E78" s="98" t="str">
        <x:v>EOA_CANDIDATE</x:v>
      </x:c>
      <x:c r="F78" s="91" t="b">
        <x:v>0</x:v>
      </x:c>
      <x:c r="G78" s="89" t="n">
        <x:v>0</x:v>
      </x:c>
      <x:c r="H78" s="90" t="str">
        <x:v>14101400000000</x:v>
      </x:c>
      <x:c r="I78" s="92" t="n">
        <x:v>14.1014</x:v>
      </x:c>
      <x:c r="J78" s="92" t="str">
        <x:v>14101400000000000000</x:v>
      </x:c>
      <x:c r="K78" s="92" t="n">
        <x:v>14.1014</x:v>
      </x:c>
      <x:c r="L78" s="98" t="str">
        <x:v>PENDING_OWNER_ELIGIBILITY_APPROVAL</x:v>
      </x:c>
      <x:c r="M78" s="98" t="b">
        <x:f>IF(E78="EOA_CANDIDATE",I78&gt;='Decision Summary'!$B$11,FALSE)</x:f>
        <x:v>0</x:v>
      </x:c>
      <x:c r="N78" s="98" t="str">
        <x:f>IF(M78,"DRAFT INCLUDE","HOLD / EXCLUDE")</x:f>
        <x:v>HOLD / EXCLUDE</x:v>
      </x:c>
      <x:c r="O78" s="101" t="str">
        <x:f>IF(M78,C78,"")</x:f>
      </x:c>
      <x:c r="P78" s="98" t="str">
        <x:f>IF(N78="DRAFT INCLUDE",ROUNDUP(COUNTIF($N$6:N78,"DRAFT INCLUDE")/'Decision Summary'!$B$12,0),"")</x:f>
      </x:c>
      <x:c r="Q78" s="98" t="str">
        <x:f>IF(N78="DRAFT INCLUDE",MOD(COUNTIF($N$6:N78,"DRAFT INCLUDE")-1,'Decision Summary'!$B$12)+1,"")</x:f>
      </x:c>
      <x:c r="R78" s="98" t="str">
        <x:v>PENDING</x:v>
      </x:c>
      <x:c r="S78" s="98" t="str"/>
      <x:c r="T78" s="98" t="str">
        <x:v>Ordinary EOA candidate; inclusion still depends on V1 deprecation, threshold policy and owner approval.</x:v>
      </x:c>
      <x:c r="U78" s="89" t="str">
        <x:v>https://etherscan.io/token/0x445d03f499f1c150615957bb87588fb465fc91cc#balances</x:v>
      </x:c>
      <x:c r="V78" s="89" t="b">
        <x:f>COUNTIF($C$6:$C$502,C78)&gt;1</x:f>
        <x:v>0</x:v>
      </x:c>
    </x:row>
    <x:row r="79">
      <x:c r="A79" s="89" t="n">
        <x:v>74</x:v>
      </x:c>
      <x:c r="B79" s="89" t="str">
        <x:v>v1-mainnet-0074</x:v>
      </x:c>
      <x:c r="C79" s="90" t="str">
        <x:v>0x8bda05bcceb7618093200b42674820a21f79dc08</x:v>
      </x:c>
      <x:c r="D79" s="98" t="str"/>
      <x:c r="E79" s="98" t="str">
        <x:v>EOA_CANDIDATE</x:v>
      </x:c>
      <x:c r="F79" s="91" t="b">
        <x:v>0</x:v>
      </x:c>
      <x:c r="G79" s="89" t="n">
        <x:v>0</x:v>
      </x:c>
      <x:c r="H79" s="90" t="str">
        <x:v>11748900000000</x:v>
      </x:c>
      <x:c r="I79" s="92" t="n">
        <x:v>11.7489</x:v>
      </x:c>
      <x:c r="J79" s="92" t="str">
        <x:v>11748900000000000000</x:v>
      </x:c>
      <x:c r="K79" s="92" t="n">
        <x:v>11.7489</x:v>
      </x:c>
      <x:c r="L79" s="98" t="str">
        <x:v>PENDING_OWNER_ELIGIBILITY_APPROVAL</x:v>
      </x:c>
      <x:c r="M79" s="98" t="b">
        <x:f>IF(E79="EOA_CANDIDATE",I79&gt;='Decision Summary'!$B$11,FALSE)</x:f>
        <x:v>0</x:v>
      </x:c>
      <x:c r="N79" s="98" t="str">
        <x:f>IF(M79,"DRAFT INCLUDE","HOLD / EXCLUDE")</x:f>
        <x:v>HOLD / EXCLUDE</x:v>
      </x:c>
      <x:c r="O79" s="101" t="str">
        <x:f>IF(M79,C79,"")</x:f>
      </x:c>
      <x:c r="P79" s="98" t="str">
        <x:f>IF(N79="DRAFT INCLUDE",ROUNDUP(COUNTIF($N$6:N79,"DRAFT INCLUDE")/'Decision Summary'!$B$12,0),"")</x:f>
      </x:c>
      <x:c r="Q79" s="98" t="str">
        <x:f>IF(N79="DRAFT INCLUDE",MOD(COUNTIF($N$6:N79,"DRAFT INCLUDE")-1,'Decision Summary'!$B$12)+1,"")</x:f>
      </x:c>
      <x:c r="R79" s="98" t="str">
        <x:v>PENDING</x:v>
      </x:c>
      <x:c r="S79" s="98" t="str"/>
      <x:c r="T79" s="98" t="str">
        <x:v>Ordinary EOA candidate; inclusion still depends on V1 deprecation, threshold policy and owner approval.</x:v>
      </x:c>
      <x:c r="U79" s="89" t="str">
        <x:v>https://etherscan.io/token/0x445d03f499f1c150615957bb87588fb465fc91cc#balances</x:v>
      </x:c>
      <x:c r="V79" s="89" t="b">
        <x:f>COUNTIF($C$6:$C$502,C79)&gt;1</x:f>
        <x:v>0</x:v>
      </x:c>
    </x:row>
    <x:row r="80">
      <x:c r="A80" s="89" t="n">
        <x:v>75</x:v>
      </x:c>
      <x:c r="B80" s="89" t="str">
        <x:v>v1-mainnet-0075</x:v>
      </x:c>
      <x:c r="C80" s="90" t="str">
        <x:v>0x2387eae895d2e3c5acbc3f708832504d910fd5e4</x:v>
      </x:c>
      <x:c r="D80" s="98" t="str"/>
      <x:c r="E80" s="98" t="str">
        <x:v>EOA_CANDIDATE</x:v>
      </x:c>
      <x:c r="F80" s="91" t="b">
        <x:v>0</x:v>
      </x:c>
      <x:c r="G80" s="89" t="n">
        <x:v>0</x:v>
      </x:c>
      <x:c r="H80" s="90" t="str">
        <x:v>10000000000000</x:v>
      </x:c>
      <x:c r="I80" s="92" t="n">
        <x:v>10</x:v>
      </x:c>
      <x:c r="J80" s="92" t="str">
        <x:v>10000000000000000000</x:v>
      </x:c>
      <x:c r="K80" s="92" t="n">
        <x:v>10</x:v>
      </x:c>
      <x:c r="L80" s="98" t="str">
        <x:v>PENDING_OWNER_ELIGIBILITY_APPROVAL</x:v>
      </x:c>
      <x:c r="M80" s="98" t="b">
        <x:f>IF(E80="EOA_CANDIDATE",I80&gt;='Decision Summary'!$B$11,FALSE)</x:f>
        <x:v>0</x:v>
      </x:c>
      <x:c r="N80" s="98" t="str">
        <x:f>IF(M80,"DRAFT INCLUDE","HOLD / EXCLUDE")</x:f>
        <x:v>HOLD / EXCLUDE</x:v>
      </x:c>
      <x:c r="O80" s="101" t="str">
        <x:f>IF(M80,C80,"")</x:f>
      </x:c>
      <x:c r="P80" s="98" t="str">
        <x:f>IF(N80="DRAFT INCLUDE",ROUNDUP(COUNTIF($N$6:N80,"DRAFT INCLUDE")/'Decision Summary'!$B$12,0),"")</x:f>
      </x:c>
      <x:c r="Q80" s="98" t="str">
        <x:f>IF(N80="DRAFT INCLUDE",MOD(COUNTIF($N$6:N80,"DRAFT INCLUDE")-1,'Decision Summary'!$B$12)+1,"")</x:f>
      </x:c>
      <x:c r="R80" s="98" t="str">
        <x:v>PENDING</x:v>
      </x:c>
      <x:c r="S80" s="98" t="str"/>
      <x:c r="T80" s="98" t="str">
        <x:v>Ordinary EOA candidate; inclusion still depends on V1 deprecation, threshold policy and owner approval.</x:v>
      </x:c>
      <x:c r="U80" s="89" t="str">
        <x:v>https://etherscan.io/token/0x445d03f499f1c150615957bb87588fb465fc91cc#balances</x:v>
      </x:c>
      <x:c r="V80" s="89" t="b">
        <x:f>COUNTIF($C$6:$C$502,C80)&gt;1</x:f>
        <x:v>0</x:v>
      </x:c>
    </x:row>
    <x:row r="81">
      <x:c r="A81" s="89" t="n">
        <x:v>76</x:v>
      </x:c>
      <x:c r="B81" s="89" t="str">
        <x:v>v1-mainnet-0076</x:v>
      </x:c>
      <x:c r="C81" s="90" t="str">
        <x:v>0xb60e3ecdc4beba1f0ced0354fbbd71a5fbf6468d</x:v>
      </x:c>
      <x:c r="D81" s="98" t="str"/>
      <x:c r="E81" s="98" t="str">
        <x:v>EOA_CANDIDATE</x:v>
      </x:c>
      <x:c r="F81" s="91" t="b">
        <x:v>0</x:v>
      </x:c>
      <x:c r="G81" s="89" t="n">
        <x:v>0</x:v>
      </x:c>
      <x:c r="H81" s="90" t="str">
        <x:v>10000000000000</x:v>
      </x:c>
      <x:c r="I81" s="92" t="n">
        <x:v>10</x:v>
      </x:c>
      <x:c r="J81" s="92" t="str">
        <x:v>10000000000000000000</x:v>
      </x:c>
      <x:c r="K81" s="92" t="n">
        <x:v>10</x:v>
      </x:c>
      <x:c r="L81" s="98" t="str">
        <x:v>PENDING_OWNER_ELIGIBILITY_APPROVAL</x:v>
      </x:c>
      <x:c r="M81" s="98" t="b">
        <x:f>IF(E81="EOA_CANDIDATE",I81&gt;='Decision Summary'!$B$11,FALSE)</x:f>
        <x:v>0</x:v>
      </x:c>
      <x:c r="N81" s="98" t="str">
        <x:f>IF(M81,"DRAFT INCLUDE","HOLD / EXCLUDE")</x:f>
        <x:v>HOLD / EXCLUDE</x:v>
      </x:c>
      <x:c r="O81" s="101" t="str">
        <x:f>IF(M81,C81,"")</x:f>
      </x:c>
      <x:c r="P81" s="98" t="str">
        <x:f>IF(N81="DRAFT INCLUDE",ROUNDUP(COUNTIF($N$6:N81,"DRAFT INCLUDE")/'Decision Summary'!$B$12,0),"")</x:f>
      </x:c>
      <x:c r="Q81" s="98" t="str">
        <x:f>IF(N81="DRAFT INCLUDE",MOD(COUNTIF($N$6:N81,"DRAFT INCLUDE")-1,'Decision Summary'!$B$12)+1,"")</x:f>
      </x:c>
      <x:c r="R81" s="98" t="str">
        <x:v>PENDING</x:v>
      </x:c>
      <x:c r="S81" s="98" t="str"/>
      <x:c r="T81" s="98" t="str">
        <x:v>Ordinary EOA candidate; inclusion still depends on V1 deprecation, threshold policy and owner approval.</x:v>
      </x:c>
      <x:c r="U81" s="89" t="str">
        <x:v>https://etherscan.io/token/0x445d03f499f1c150615957bb87588fb465fc91cc#balances</x:v>
      </x:c>
      <x:c r="V81" s="89" t="b">
        <x:f>COUNTIF($C$6:$C$502,C81)&gt;1</x:f>
        <x:v>0</x:v>
      </x:c>
    </x:row>
    <x:row r="82">
      <x:c r="A82" s="89" t="n">
        <x:v>77</x:v>
      </x:c>
      <x:c r="B82" s="89" t="str">
        <x:v>v1-mainnet-0077</x:v>
      </x:c>
      <x:c r="C82" s="90" t="str">
        <x:v>0xcadbb23b8e18d216b8b25c9f21a18b9cf2d21fc1</x:v>
      </x:c>
      <x:c r="D82" s="98" t="str"/>
      <x:c r="E82" s="98" t="str">
        <x:v>EOA_CANDIDATE</x:v>
      </x:c>
      <x:c r="F82" s="91" t="b">
        <x:v>0</x:v>
      </x:c>
      <x:c r="G82" s="89" t="n">
        <x:v>0</x:v>
      </x:c>
      <x:c r="H82" s="90" t="str">
        <x:v>10000000000000</x:v>
      </x:c>
      <x:c r="I82" s="92" t="n">
        <x:v>10</x:v>
      </x:c>
      <x:c r="J82" s="92" t="str">
        <x:v>10000000000000000000</x:v>
      </x:c>
      <x:c r="K82" s="92" t="n">
        <x:v>10</x:v>
      </x:c>
      <x:c r="L82" s="98" t="str">
        <x:v>PENDING_OWNER_ELIGIBILITY_APPROVAL</x:v>
      </x:c>
      <x:c r="M82" s="98" t="b">
        <x:f>IF(E82="EOA_CANDIDATE",I82&gt;='Decision Summary'!$B$11,FALSE)</x:f>
        <x:v>0</x:v>
      </x:c>
      <x:c r="N82" s="98" t="str">
        <x:f>IF(M82,"DRAFT INCLUDE","HOLD / EXCLUDE")</x:f>
        <x:v>HOLD / EXCLUDE</x:v>
      </x:c>
      <x:c r="O82" s="101" t="str">
        <x:f>IF(M82,C82,"")</x:f>
      </x:c>
      <x:c r="P82" s="98" t="str">
        <x:f>IF(N82="DRAFT INCLUDE",ROUNDUP(COUNTIF($N$6:N82,"DRAFT INCLUDE")/'Decision Summary'!$B$12,0),"")</x:f>
      </x:c>
      <x:c r="Q82" s="98" t="str">
        <x:f>IF(N82="DRAFT INCLUDE",MOD(COUNTIF($N$6:N82,"DRAFT INCLUDE")-1,'Decision Summary'!$B$12)+1,"")</x:f>
      </x:c>
      <x:c r="R82" s="98" t="str">
        <x:v>PENDING</x:v>
      </x:c>
      <x:c r="S82" s="98" t="str"/>
      <x:c r="T82" s="98" t="str">
        <x:v>Ordinary EOA candidate; inclusion still depends on V1 deprecation, threshold policy and owner approval.</x:v>
      </x:c>
      <x:c r="U82" s="89" t="str">
        <x:v>https://etherscan.io/token/0x445d03f499f1c150615957bb87588fb465fc91cc#balances</x:v>
      </x:c>
      <x:c r="V82" s="89" t="b">
        <x:f>COUNTIF($C$6:$C$502,C82)&gt;1</x:f>
        <x:v>0</x:v>
      </x:c>
    </x:row>
    <x:row r="83">
      <x:c r="A83" s="89" t="n">
        <x:v>78</x:v>
      </x:c>
      <x:c r="B83" s="89" t="str">
        <x:v>v1-mainnet-0078</x:v>
      </x:c>
      <x:c r="C83" s="90" t="str">
        <x:v>0xcb3f083c32772fbefc1f2a5aa86e76c7686def63</x:v>
      </x:c>
      <x:c r="D83" s="98" t="str"/>
      <x:c r="E83" s="98" t="str">
        <x:v>EOA_CANDIDATE</x:v>
      </x:c>
      <x:c r="F83" s="91" t="b">
        <x:v>0</x:v>
      </x:c>
      <x:c r="G83" s="89" t="n">
        <x:v>0</x:v>
      </x:c>
      <x:c r="H83" s="90" t="str">
        <x:v>10000000000000</x:v>
      </x:c>
      <x:c r="I83" s="92" t="n">
        <x:v>10</x:v>
      </x:c>
      <x:c r="J83" s="92" t="str">
        <x:v>10000000000000000000</x:v>
      </x:c>
      <x:c r="K83" s="92" t="n">
        <x:v>10</x:v>
      </x:c>
      <x:c r="L83" s="98" t="str">
        <x:v>PENDING_OWNER_ELIGIBILITY_APPROVAL</x:v>
      </x:c>
      <x:c r="M83" s="98" t="b">
        <x:f>IF(E83="EOA_CANDIDATE",I83&gt;='Decision Summary'!$B$11,FALSE)</x:f>
        <x:v>0</x:v>
      </x:c>
      <x:c r="N83" s="98" t="str">
        <x:f>IF(M83,"DRAFT INCLUDE","HOLD / EXCLUDE")</x:f>
        <x:v>HOLD / EXCLUDE</x:v>
      </x:c>
      <x:c r="O83" s="101" t="str">
        <x:f>IF(M83,C83,"")</x:f>
      </x:c>
      <x:c r="P83" s="98" t="str">
        <x:f>IF(N83="DRAFT INCLUDE",ROUNDUP(COUNTIF($N$6:N83,"DRAFT INCLUDE")/'Decision Summary'!$B$12,0),"")</x:f>
      </x:c>
      <x:c r="Q83" s="98" t="str">
        <x:f>IF(N83="DRAFT INCLUDE",MOD(COUNTIF($N$6:N83,"DRAFT INCLUDE")-1,'Decision Summary'!$B$12)+1,"")</x:f>
      </x:c>
      <x:c r="R83" s="98" t="str">
        <x:v>PENDING</x:v>
      </x:c>
      <x:c r="S83" s="98" t="str"/>
      <x:c r="T83" s="98" t="str">
        <x:v>Ordinary EOA candidate; inclusion still depends on V1 deprecation, threshold policy and owner approval.</x:v>
      </x:c>
      <x:c r="U83" s="89" t="str">
        <x:v>https://etherscan.io/token/0x445d03f499f1c150615957bb87588fb465fc91cc#balances</x:v>
      </x:c>
      <x:c r="V83" s="89" t="b">
        <x:f>COUNTIF($C$6:$C$502,C83)&gt;1</x:f>
        <x:v>0</x:v>
      </x:c>
    </x:row>
    <x:row r="84">
      <x:c r="A84" s="89" t="n">
        <x:v>79</x:v>
      </x:c>
      <x:c r="B84" s="89" t="str">
        <x:v>v1-mainnet-0079</x:v>
      </x:c>
      <x:c r="C84" s="90" t="str">
        <x:v>0x5cf8cfe8382f2deaef6928c8210a82b972af3f67</x:v>
      </x:c>
      <x:c r="D84" s="98" t="str"/>
      <x:c r="E84" s="98" t="str">
        <x:v>EOA_CANDIDATE</x:v>
      </x:c>
      <x:c r="F84" s="91" t="b">
        <x:v>0</x:v>
      </x:c>
      <x:c r="G84" s="89" t="n">
        <x:v>0</x:v>
      </x:c>
      <x:c r="H84" s="90" t="str">
        <x:v>9993100000000</x:v>
      </x:c>
      <x:c r="I84" s="92" t="n">
        <x:v>9.9931</x:v>
      </x:c>
      <x:c r="J84" s="92" t="str">
        <x:v>9993100000000000000</x:v>
      </x:c>
      <x:c r="K84" s="92" t="n">
        <x:v>9.9931</x:v>
      </x:c>
      <x:c r="L84" s="98" t="str">
        <x:v>PENDING_OWNER_ELIGIBILITY_APPROVAL</x:v>
      </x:c>
      <x:c r="M84" s="98" t="b">
        <x:f>IF(E84="EOA_CANDIDATE",I84&gt;='Decision Summary'!$B$11,FALSE)</x:f>
        <x:v>0</x:v>
      </x:c>
      <x:c r="N84" s="98" t="str">
        <x:f>IF(M84,"DRAFT INCLUDE","HOLD / EXCLUDE")</x:f>
        <x:v>HOLD / EXCLUDE</x:v>
      </x:c>
      <x:c r="O84" s="101" t="str">
        <x:f>IF(M84,C84,"")</x:f>
      </x:c>
      <x:c r="P84" s="98" t="str">
        <x:f>IF(N84="DRAFT INCLUDE",ROUNDUP(COUNTIF($N$6:N84,"DRAFT INCLUDE")/'Decision Summary'!$B$12,0),"")</x:f>
      </x:c>
      <x:c r="Q84" s="98" t="str">
        <x:f>IF(N84="DRAFT INCLUDE",MOD(COUNTIF($N$6:N84,"DRAFT INCLUDE")-1,'Decision Summary'!$B$12)+1,"")</x:f>
      </x:c>
      <x:c r="R84" s="98" t="str">
        <x:v>PENDING</x:v>
      </x:c>
      <x:c r="S84" s="98" t="str"/>
      <x:c r="T84" s="98" t="str">
        <x:v>Ordinary EOA candidate; inclusion still depends on V1 deprecation, threshold policy and owner approval.</x:v>
      </x:c>
      <x:c r="U84" s="89" t="str">
        <x:v>https://etherscan.io/token/0x445d03f499f1c150615957bb87588fb465fc91cc#balances</x:v>
      </x:c>
      <x:c r="V84" s="89" t="b">
        <x:f>COUNTIF($C$6:$C$502,C84)&gt;1</x:f>
        <x:v>0</x:v>
      </x:c>
    </x:row>
    <x:row r="85">
      <x:c r="A85" s="89" t="n">
        <x:v>80</x:v>
      </x:c>
      <x:c r="B85" s="89" t="str">
        <x:v>v1-mainnet-0080</x:v>
      </x:c>
      <x:c r="C85" s="90" t="str">
        <x:v>0x80021c8cd3397c471daa8528aa913eec290fd3cc</x:v>
      </x:c>
      <x:c r="D85" s="98" t="str"/>
      <x:c r="E85" s="98" t="str">
        <x:v>EOA_CANDIDATE</x:v>
      </x:c>
      <x:c r="F85" s="91" t="b">
        <x:v>0</x:v>
      </x:c>
      <x:c r="G85" s="89" t="n">
        <x:v>0</x:v>
      </x:c>
      <x:c r="H85" s="90" t="str">
        <x:v>9973500000000</x:v>
      </x:c>
      <x:c r="I85" s="92" t="n">
        <x:v>9.9735</x:v>
      </x:c>
      <x:c r="J85" s="92" t="str">
        <x:v>9973500000000000000</x:v>
      </x:c>
      <x:c r="K85" s="92" t="n">
        <x:v>9.9735</x:v>
      </x:c>
      <x:c r="L85" s="98" t="str">
        <x:v>PENDING_OWNER_ELIGIBILITY_APPROVAL</x:v>
      </x:c>
      <x:c r="M85" s="98" t="b">
        <x:f>IF(E85="EOA_CANDIDATE",I85&gt;='Decision Summary'!$B$11,FALSE)</x:f>
        <x:v>0</x:v>
      </x:c>
      <x:c r="N85" s="98" t="str">
        <x:f>IF(M85,"DRAFT INCLUDE","HOLD / EXCLUDE")</x:f>
        <x:v>HOLD / EXCLUDE</x:v>
      </x:c>
      <x:c r="O85" s="101" t="str">
        <x:f>IF(M85,C85,"")</x:f>
      </x:c>
      <x:c r="P85" s="98" t="str">
        <x:f>IF(N85="DRAFT INCLUDE",ROUNDUP(COUNTIF($N$6:N85,"DRAFT INCLUDE")/'Decision Summary'!$B$12,0),"")</x:f>
      </x:c>
      <x:c r="Q85" s="98" t="str">
        <x:f>IF(N85="DRAFT INCLUDE",MOD(COUNTIF($N$6:N85,"DRAFT INCLUDE")-1,'Decision Summary'!$B$12)+1,"")</x:f>
      </x:c>
      <x:c r="R85" s="98" t="str">
        <x:v>PENDING</x:v>
      </x:c>
      <x:c r="S85" s="98" t="str"/>
      <x:c r="T85" s="98" t="str">
        <x:v>Ordinary EOA candidate; inclusion still depends on V1 deprecation, threshold policy and owner approval.</x:v>
      </x:c>
      <x:c r="U85" s="89" t="str">
        <x:v>https://etherscan.io/token/0x445d03f499f1c150615957bb87588fb465fc91cc#balances</x:v>
      </x:c>
      <x:c r="V85" s="89" t="b">
        <x:f>COUNTIF($C$6:$C$502,C85)&gt;1</x:f>
        <x:v>0</x:v>
      </x:c>
    </x:row>
    <x:row r="86">
      <x:c r="A86" s="89" t="n">
        <x:v>81</x:v>
      </x:c>
      <x:c r="B86" s="89" t="str">
        <x:v>v1-mainnet-0081</x:v>
      </x:c>
      <x:c r="C86" s="90" t="str">
        <x:v>0x7cc1c89bcacf01e01ea1e89f7a6cc1e1b99123d3</x:v>
      </x:c>
      <x:c r="D86" s="98" t="str"/>
      <x:c r="E86" s="98" t="str">
        <x:v>EOA_CANDIDATE</x:v>
      </x:c>
      <x:c r="F86" s="91" t="b">
        <x:v>0</x:v>
      </x:c>
      <x:c r="G86" s="89" t="n">
        <x:v>0</x:v>
      </x:c>
      <x:c r="H86" s="90" t="str">
        <x:v>9972800000000</x:v>
      </x:c>
      <x:c r="I86" s="92" t="n">
        <x:v>9.9728</x:v>
      </x:c>
      <x:c r="J86" s="92" t="str">
        <x:v>9972800000000000000</x:v>
      </x:c>
      <x:c r="K86" s="92" t="n">
        <x:v>9.9728</x:v>
      </x:c>
      <x:c r="L86" s="98" t="str">
        <x:v>PENDING_OWNER_ELIGIBILITY_APPROVAL</x:v>
      </x:c>
      <x:c r="M86" s="98" t="b">
        <x:f>IF(E86="EOA_CANDIDATE",I86&gt;='Decision Summary'!$B$11,FALSE)</x:f>
        <x:v>0</x:v>
      </x:c>
      <x:c r="N86" s="98" t="str">
        <x:f>IF(M86,"DRAFT INCLUDE","HOLD / EXCLUDE")</x:f>
        <x:v>HOLD / EXCLUDE</x:v>
      </x:c>
      <x:c r="O86" s="101" t="str">
        <x:f>IF(M86,C86,"")</x:f>
      </x:c>
      <x:c r="P86" s="98" t="str">
        <x:f>IF(N86="DRAFT INCLUDE",ROUNDUP(COUNTIF($N$6:N86,"DRAFT INCLUDE")/'Decision Summary'!$B$12,0),"")</x:f>
      </x:c>
      <x:c r="Q86" s="98" t="str">
        <x:f>IF(N86="DRAFT INCLUDE",MOD(COUNTIF($N$6:N86,"DRAFT INCLUDE")-1,'Decision Summary'!$B$12)+1,"")</x:f>
      </x:c>
      <x:c r="R86" s="98" t="str">
        <x:v>PENDING</x:v>
      </x:c>
      <x:c r="S86" s="98" t="str"/>
      <x:c r="T86" s="98" t="str">
        <x:v>Ordinary EOA candidate; inclusion still depends on V1 deprecation, threshold policy and owner approval.</x:v>
      </x:c>
      <x:c r="U86" s="89" t="str">
        <x:v>https://etherscan.io/token/0x445d03f499f1c150615957bb87588fb465fc91cc#balances</x:v>
      </x:c>
      <x:c r="V86" s="89" t="b">
        <x:f>COUNTIF($C$6:$C$502,C86)&gt;1</x:f>
        <x:v>0</x:v>
      </x:c>
    </x:row>
    <x:row r="87">
      <x:c r="A87" s="89" t="n">
        <x:v>82</x:v>
      </x:c>
      <x:c r="B87" s="89" t="str">
        <x:v>v1-mainnet-0082</x:v>
      </x:c>
      <x:c r="C87" s="90" t="str">
        <x:v>0x2714fa2b22a63bca09d6489d4da39187a6cb6483</x:v>
      </x:c>
      <x:c r="D87" s="98" t="str"/>
      <x:c r="E87" s="98" t="str">
        <x:v>EOA_CANDIDATE</x:v>
      </x:c>
      <x:c r="F87" s="91" t="b">
        <x:v>0</x:v>
      </x:c>
      <x:c r="G87" s="89" t="n">
        <x:v>0</x:v>
      </x:c>
      <x:c r="H87" s="90" t="str">
        <x:v>9966600000000</x:v>
      </x:c>
      <x:c r="I87" s="92" t="n">
        <x:v>9.9666</x:v>
      </x:c>
      <x:c r="J87" s="92" t="str">
        <x:v>9966600000000000000</x:v>
      </x:c>
      <x:c r="K87" s="92" t="n">
        <x:v>9.9666</x:v>
      </x:c>
      <x:c r="L87" s="98" t="str">
        <x:v>PENDING_OWNER_ELIGIBILITY_APPROVAL</x:v>
      </x:c>
      <x:c r="M87" s="98" t="b">
        <x:f>IF(E87="EOA_CANDIDATE",I87&gt;='Decision Summary'!$B$11,FALSE)</x:f>
        <x:v>0</x:v>
      </x:c>
      <x:c r="N87" s="98" t="str">
        <x:f>IF(M87,"DRAFT INCLUDE","HOLD / EXCLUDE")</x:f>
        <x:v>HOLD / EXCLUDE</x:v>
      </x:c>
      <x:c r="O87" s="101" t="str">
        <x:f>IF(M87,C87,"")</x:f>
      </x:c>
      <x:c r="P87" s="98" t="str">
        <x:f>IF(N87="DRAFT INCLUDE",ROUNDUP(COUNTIF($N$6:N87,"DRAFT INCLUDE")/'Decision Summary'!$B$12,0),"")</x:f>
      </x:c>
      <x:c r="Q87" s="98" t="str">
        <x:f>IF(N87="DRAFT INCLUDE",MOD(COUNTIF($N$6:N87,"DRAFT INCLUDE")-1,'Decision Summary'!$B$12)+1,"")</x:f>
      </x:c>
      <x:c r="R87" s="98" t="str">
        <x:v>PENDING</x:v>
      </x:c>
      <x:c r="S87" s="98" t="str"/>
      <x:c r="T87" s="98" t="str">
        <x:v>Ordinary EOA candidate; inclusion still depends on V1 deprecation, threshold policy and owner approval.</x:v>
      </x:c>
      <x:c r="U87" s="89" t="str">
        <x:v>https://etherscan.io/token/0x445d03f499f1c150615957bb87588fb465fc91cc#balances</x:v>
      </x:c>
      <x:c r="V87" s="89" t="b">
        <x:f>COUNTIF($C$6:$C$502,C87)&gt;1</x:f>
        <x:v>0</x:v>
      </x:c>
    </x:row>
    <x:row r="88">
      <x:c r="A88" s="89" t="n">
        <x:v>83</x:v>
      </x:c>
      <x:c r="B88" s="89" t="str">
        <x:v>v1-mainnet-0083</x:v>
      </x:c>
      <x:c r="C88" s="90" t="str">
        <x:v>0x1508e60df404c3d862a8860578b2af51bdbfa1a7</x:v>
      </x:c>
      <x:c r="D88" s="98" t="str"/>
      <x:c r="E88" s="98" t="str">
        <x:v>EOA_CANDIDATE</x:v>
      </x:c>
      <x:c r="F88" s="91" t="b">
        <x:v>0</x:v>
      </x:c>
      <x:c r="G88" s="89" t="n">
        <x:v>0</x:v>
      </x:c>
      <x:c r="H88" s="90" t="str">
        <x:v>9959400000000</x:v>
      </x:c>
      <x:c r="I88" s="92" t="n">
        <x:v>9.9594</x:v>
      </x:c>
      <x:c r="J88" s="92" t="str">
        <x:v>9959400000000000000</x:v>
      </x:c>
      <x:c r="K88" s="92" t="n">
        <x:v>9.9594</x:v>
      </x:c>
      <x:c r="L88" s="98" t="str">
        <x:v>PENDING_OWNER_ELIGIBILITY_APPROVAL</x:v>
      </x:c>
      <x:c r="M88" s="98" t="b">
        <x:f>IF(E88="EOA_CANDIDATE",I88&gt;='Decision Summary'!$B$11,FALSE)</x:f>
        <x:v>0</x:v>
      </x:c>
      <x:c r="N88" s="98" t="str">
        <x:f>IF(M88,"DRAFT INCLUDE","HOLD / EXCLUDE")</x:f>
        <x:v>HOLD / EXCLUDE</x:v>
      </x:c>
      <x:c r="O88" s="101" t="str">
        <x:f>IF(M88,C88,"")</x:f>
      </x:c>
      <x:c r="P88" s="98" t="str">
        <x:f>IF(N88="DRAFT INCLUDE",ROUNDUP(COUNTIF($N$6:N88,"DRAFT INCLUDE")/'Decision Summary'!$B$12,0),"")</x:f>
      </x:c>
      <x:c r="Q88" s="98" t="str">
        <x:f>IF(N88="DRAFT INCLUDE",MOD(COUNTIF($N$6:N88,"DRAFT INCLUDE")-1,'Decision Summary'!$B$12)+1,"")</x:f>
      </x:c>
      <x:c r="R88" s="98" t="str">
        <x:v>PENDING</x:v>
      </x:c>
      <x:c r="S88" s="98" t="str"/>
      <x:c r="T88" s="98" t="str">
        <x:v>Ordinary EOA candidate; inclusion still depends on V1 deprecation, threshold policy and owner approval.</x:v>
      </x:c>
      <x:c r="U88" s="89" t="str">
        <x:v>https://etherscan.io/token/0x445d03f499f1c150615957bb87588fb465fc91cc#balances</x:v>
      </x:c>
      <x:c r="V88" s="89" t="b">
        <x:f>COUNTIF($C$6:$C$502,C88)&gt;1</x:f>
        <x:v>0</x:v>
      </x:c>
    </x:row>
    <x:row r="89">
      <x:c r="A89" s="89" t="n">
        <x:v>84</x:v>
      </x:c>
      <x:c r="B89" s="89" t="str">
        <x:v>v1-mainnet-0084</x:v>
      </x:c>
      <x:c r="C89" s="90" t="str">
        <x:v>0x5726ad4aa5f3c5f2ca4311e8008fd767d50dc5bc</x:v>
      </x:c>
      <x:c r="D89" s="98" t="str"/>
      <x:c r="E89" s="98" t="str">
        <x:v>EOA_CANDIDATE</x:v>
      </x:c>
      <x:c r="F89" s="91" t="b">
        <x:v>0</x:v>
      </x:c>
      <x:c r="G89" s="89" t="n">
        <x:v>0</x:v>
      </x:c>
      <x:c r="H89" s="90" t="str">
        <x:v>9958200000000</x:v>
      </x:c>
      <x:c r="I89" s="92" t="n">
        <x:v>9.9582</x:v>
      </x:c>
      <x:c r="J89" s="92" t="str">
        <x:v>9958200000000000000</x:v>
      </x:c>
      <x:c r="K89" s="92" t="n">
        <x:v>9.9582</x:v>
      </x:c>
      <x:c r="L89" s="98" t="str">
        <x:v>PENDING_OWNER_ELIGIBILITY_APPROVAL</x:v>
      </x:c>
      <x:c r="M89" s="98" t="b">
        <x:f>IF(E89="EOA_CANDIDATE",I89&gt;='Decision Summary'!$B$11,FALSE)</x:f>
        <x:v>0</x:v>
      </x:c>
      <x:c r="N89" s="98" t="str">
        <x:f>IF(M89,"DRAFT INCLUDE","HOLD / EXCLUDE")</x:f>
        <x:v>HOLD / EXCLUDE</x:v>
      </x:c>
      <x:c r="O89" s="101" t="str">
        <x:f>IF(M89,C89,"")</x:f>
      </x:c>
      <x:c r="P89" s="98" t="str">
        <x:f>IF(N89="DRAFT INCLUDE",ROUNDUP(COUNTIF($N$6:N89,"DRAFT INCLUDE")/'Decision Summary'!$B$12,0),"")</x:f>
      </x:c>
      <x:c r="Q89" s="98" t="str">
        <x:f>IF(N89="DRAFT INCLUDE",MOD(COUNTIF($N$6:N89,"DRAFT INCLUDE")-1,'Decision Summary'!$B$12)+1,"")</x:f>
      </x:c>
      <x:c r="R89" s="98" t="str">
        <x:v>PENDING</x:v>
      </x:c>
      <x:c r="S89" s="98" t="str"/>
      <x:c r="T89" s="98" t="str">
        <x:v>Ordinary EOA candidate; inclusion still depends on V1 deprecation, threshold policy and owner approval.</x:v>
      </x:c>
      <x:c r="U89" s="89" t="str">
        <x:v>https://etherscan.io/token/0x445d03f499f1c150615957bb87588fb465fc91cc#balances</x:v>
      </x:c>
      <x:c r="V89" s="89" t="b">
        <x:f>COUNTIF($C$6:$C$502,C89)&gt;1</x:f>
        <x:v>0</x:v>
      </x:c>
    </x:row>
    <x:row r="90">
      <x:c r="A90" s="89" t="n">
        <x:v>85</x:v>
      </x:c>
      <x:c r="B90" s="89" t="str">
        <x:v>v1-mainnet-0085</x:v>
      </x:c>
      <x:c r="C90" s="90" t="str">
        <x:v>0x6c9dc62a484b81908a7b47471718ba4e3640c21e</x:v>
      </x:c>
      <x:c r="D90" s="98" t="str"/>
      <x:c r="E90" s="98" t="str">
        <x:v>EOA_CANDIDATE</x:v>
      </x:c>
      <x:c r="F90" s="91" t="b">
        <x:v>0</x:v>
      </x:c>
      <x:c r="G90" s="89" t="n">
        <x:v>0</x:v>
      </x:c>
      <x:c r="H90" s="90" t="str">
        <x:v>9950800000000</x:v>
      </x:c>
      <x:c r="I90" s="92" t="n">
        <x:v>9.9508</x:v>
      </x:c>
      <x:c r="J90" s="92" t="str">
        <x:v>9950800000000000000</x:v>
      </x:c>
      <x:c r="K90" s="92" t="n">
        <x:v>9.9508</x:v>
      </x:c>
      <x:c r="L90" s="98" t="str">
        <x:v>PENDING_OWNER_ELIGIBILITY_APPROVAL</x:v>
      </x:c>
      <x:c r="M90" s="98" t="b">
        <x:f>IF(E90="EOA_CANDIDATE",I90&gt;='Decision Summary'!$B$11,FALSE)</x:f>
        <x:v>0</x:v>
      </x:c>
      <x:c r="N90" s="98" t="str">
        <x:f>IF(M90,"DRAFT INCLUDE","HOLD / EXCLUDE")</x:f>
        <x:v>HOLD / EXCLUDE</x:v>
      </x:c>
      <x:c r="O90" s="101" t="str">
        <x:f>IF(M90,C90,"")</x:f>
      </x:c>
      <x:c r="P90" s="98" t="str">
        <x:f>IF(N90="DRAFT INCLUDE",ROUNDUP(COUNTIF($N$6:N90,"DRAFT INCLUDE")/'Decision Summary'!$B$12,0),"")</x:f>
      </x:c>
      <x:c r="Q90" s="98" t="str">
        <x:f>IF(N90="DRAFT INCLUDE",MOD(COUNTIF($N$6:N90,"DRAFT INCLUDE")-1,'Decision Summary'!$B$12)+1,"")</x:f>
      </x:c>
      <x:c r="R90" s="98" t="str">
        <x:v>PENDING</x:v>
      </x:c>
      <x:c r="S90" s="98" t="str"/>
      <x:c r="T90" s="98" t="str">
        <x:v>Ordinary EOA candidate; inclusion still depends on V1 deprecation, threshold policy and owner approval.</x:v>
      </x:c>
      <x:c r="U90" s="89" t="str">
        <x:v>https://etherscan.io/token/0x445d03f499f1c150615957bb87588fb465fc91cc#balances</x:v>
      </x:c>
      <x:c r="V90" s="89" t="b">
        <x:f>COUNTIF($C$6:$C$502,C90)&gt;1</x:f>
        <x:v>0</x:v>
      </x:c>
    </x:row>
    <x:row r="91">
      <x:c r="A91" s="89" t="n">
        <x:v>86</x:v>
      </x:c>
      <x:c r="B91" s="89" t="str">
        <x:v>v1-mainnet-0086</x:v>
      </x:c>
      <x:c r="C91" s="90" t="str">
        <x:v>0xb2dac8b3acbe2ad660fe3ccb24d6dcf9803a6e48</x:v>
      </x:c>
      <x:c r="D91" s="98" t="str"/>
      <x:c r="E91" s="98" t="str">
        <x:v>EOA_CANDIDATE</x:v>
      </x:c>
      <x:c r="F91" s="91" t="b">
        <x:v>0</x:v>
      </x:c>
      <x:c r="G91" s="89" t="n">
        <x:v>0</x:v>
      </x:c>
      <x:c r="H91" s="90" t="str">
        <x:v>9880700000000</x:v>
      </x:c>
      <x:c r="I91" s="92" t="n">
        <x:v>9.8807</x:v>
      </x:c>
      <x:c r="J91" s="92" t="str">
        <x:v>9880700000000000000</x:v>
      </x:c>
      <x:c r="K91" s="92" t="n">
        <x:v>9.8807</x:v>
      </x:c>
      <x:c r="L91" s="98" t="str">
        <x:v>PENDING_OWNER_ELIGIBILITY_APPROVAL</x:v>
      </x:c>
      <x:c r="M91" s="98" t="b">
        <x:f>IF(E91="EOA_CANDIDATE",I91&gt;='Decision Summary'!$B$11,FALSE)</x:f>
        <x:v>0</x:v>
      </x:c>
      <x:c r="N91" s="98" t="str">
        <x:f>IF(M91,"DRAFT INCLUDE","HOLD / EXCLUDE")</x:f>
        <x:v>HOLD / EXCLUDE</x:v>
      </x:c>
      <x:c r="O91" s="101" t="str">
        <x:f>IF(M91,C91,"")</x:f>
      </x:c>
      <x:c r="P91" s="98" t="str">
        <x:f>IF(N91="DRAFT INCLUDE",ROUNDUP(COUNTIF($N$6:N91,"DRAFT INCLUDE")/'Decision Summary'!$B$12,0),"")</x:f>
      </x:c>
      <x:c r="Q91" s="98" t="str">
        <x:f>IF(N91="DRAFT INCLUDE",MOD(COUNTIF($N$6:N91,"DRAFT INCLUDE")-1,'Decision Summary'!$B$12)+1,"")</x:f>
      </x:c>
      <x:c r="R91" s="98" t="str">
        <x:v>PENDING</x:v>
      </x:c>
      <x:c r="S91" s="98" t="str"/>
      <x:c r="T91" s="98" t="str">
        <x:v>Ordinary EOA candidate; inclusion still depends on V1 deprecation, threshold policy and owner approval.</x:v>
      </x:c>
      <x:c r="U91" s="89" t="str">
        <x:v>https://etherscan.io/token/0x445d03f499f1c150615957bb87588fb465fc91cc#balances</x:v>
      </x:c>
      <x:c r="V91" s="89" t="b">
        <x:f>COUNTIF($C$6:$C$502,C91)&gt;1</x:f>
        <x:v>0</x:v>
      </x:c>
    </x:row>
    <x:row r="92">
      <x:c r="A92" s="89" t="n">
        <x:v>87</x:v>
      </x:c>
      <x:c r="B92" s="89" t="str">
        <x:v>v1-mainnet-0087</x:v>
      </x:c>
      <x:c r="C92" s="90" t="str">
        <x:v>0x5512b92d3e281ae134a6e1504abb66efe04a7370</x:v>
      </x:c>
      <x:c r="D92" s="98" t="str"/>
      <x:c r="E92" s="98" t="str">
        <x:v>EOA_CANDIDATE</x:v>
      </x:c>
      <x:c r="F92" s="91" t="b">
        <x:v>0</x:v>
      </x:c>
      <x:c r="G92" s="89" t="n">
        <x:v>0</x:v>
      </x:c>
      <x:c r="H92" s="90" t="str">
        <x:v>9880200000000</x:v>
      </x:c>
      <x:c r="I92" s="92" t="n">
        <x:v>9.8802</x:v>
      </x:c>
      <x:c r="J92" s="92" t="str">
        <x:v>9880200000000000000</x:v>
      </x:c>
      <x:c r="K92" s="92" t="n">
        <x:v>9.8802</x:v>
      </x:c>
      <x:c r="L92" s="98" t="str">
        <x:v>PENDING_OWNER_ELIGIBILITY_APPROVAL</x:v>
      </x:c>
      <x:c r="M92" s="98" t="b">
        <x:f>IF(E92="EOA_CANDIDATE",I92&gt;='Decision Summary'!$B$11,FALSE)</x:f>
        <x:v>0</x:v>
      </x:c>
      <x:c r="N92" s="98" t="str">
        <x:f>IF(M92,"DRAFT INCLUDE","HOLD / EXCLUDE")</x:f>
        <x:v>HOLD / EXCLUDE</x:v>
      </x:c>
      <x:c r="O92" s="101" t="str">
        <x:f>IF(M92,C92,"")</x:f>
      </x:c>
      <x:c r="P92" s="98" t="str">
        <x:f>IF(N92="DRAFT INCLUDE",ROUNDUP(COUNTIF($N$6:N92,"DRAFT INCLUDE")/'Decision Summary'!$B$12,0),"")</x:f>
      </x:c>
      <x:c r="Q92" s="98" t="str">
        <x:f>IF(N92="DRAFT INCLUDE",MOD(COUNTIF($N$6:N92,"DRAFT INCLUDE")-1,'Decision Summary'!$B$12)+1,"")</x:f>
      </x:c>
      <x:c r="R92" s="98" t="str">
        <x:v>PENDING</x:v>
      </x:c>
      <x:c r="S92" s="98" t="str"/>
      <x:c r="T92" s="98" t="str">
        <x:v>Ordinary EOA candidate; inclusion still depends on V1 deprecation, threshold policy and owner approval.</x:v>
      </x:c>
      <x:c r="U92" s="89" t="str">
        <x:v>https://etherscan.io/token/0x445d03f499f1c150615957bb87588fb465fc91cc#balances</x:v>
      </x:c>
      <x:c r="V92" s="89" t="b">
        <x:f>COUNTIF($C$6:$C$502,C92)&gt;1</x:f>
        <x:v>0</x:v>
      </x:c>
    </x:row>
    <x:row r="93">
      <x:c r="A93" s="89" t="n">
        <x:v>88</x:v>
      </x:c>
      <x:c r="B93" s="89" t="str">
        <x:v>v1-mainnet-0088</x:v>
      </x:c>
      <x:c r="C93" s="90" t="str">
        <x:v>0x56e940967aba3be1d0dfbc2ed8bf1475d7e5f524</x:v>
      </x:c>
      <x:c r="D93" s="98" t="str"/>
      <x:c r="E93" s="98" t="str">
        <x:v>EOA_CANDIDATE</x:v>
      </x:c>
      <x:c r="F93" s="91" t="b">
        <x:v>0</x:v>
      </x:c>
      <x:c r="G93" s="89" t="n">
        <x:v>0</x:v>
      </x:c>
      <x:c r="H93" s="90" t="str">
        <x:v>9875600000000</x:v>
      </x:c>
      <x:c r="I93" s="92" t="n">
        <x:v>9.8756</x:v>
      </x:c>
      <x:c r="J93" s="92" t="str">
        <x:v>9875600000000000000</x:v>
      </x:c>
      <x:c r="K93" s="92" t="n">
        <x:v>9.8756</x:v>
      </x:c>
      <x:c r="L93" s="98" t="str">
        <x:v>PENDING_OWNER_ELIGIBILITY_APPROVAL</x:v>
      </x:c>
      <x:c r="M93" s="98" t="b">
        <x:f>IF(E93="EOA_CANDIDATE",I93&gt;='Decision Summary'!$B$11,FALSE)</x:f>
        <x:v>0</x:v>
      </x:c>
      <x:c r="N93" s="98" t="str">
        <x:f>IF(M93,"DRAFT INCLUDE","HOLD / EXCLUDE")</x:f>
        <x:v>HOLD / EXCLUDE</x:v>
      </x:c>
      <x:c r="O93" s="101" t="str">
        <x:f>IF(M93,C93,"")</x:f>
      </x:c>
      <x:c r="P93" s="98" t="str">
        <x:f>IF(N93="DRAFT INCLUDE",ROUNDUP(COUNTIF($N$6:N93,"DRAFT INCLUDE")/'Decision Summary'!$B$12,0),"")</x:f>
      </x:c>
      <x:c r="Q93" s="98" t="str">
        <x:f>IF(N93="DRAFT INCLUDE",MOD(COUNTIF($N$6:N93,"DRAFT INCLUDE")-1,'Decision Summary'!$B$12)+1,"")</x:f>
      </x:c>
      <x:c r="R93" s="98" t="str">
        <x:v>PENDING</x:v>
      </x:c>
      <x:c r="S93" s="98" t="str"/>
      <x:c r="T93" s="98" t="str">
        <x:v>Ordinary EOA candidate; inclusion still depends on V1 deprecation, threshold policy and owner approval.</x:v>
      </x:c>
      <x:c r="U93" s="89" t="str">
        <x:v>https://etherscan.io/token/0x445d03f499f1c150615957bb87588fb465fc91cc#balances</x:v>
      </x:c>
      <x:c r="V93" s="89" t="b">
        <x:f>COUNTIF($C$6:$C$502,C93)&gt;1</x:f>
        <x:v>0</x:v>
      </x:c>
    </x:row>
    <x:row r="94">
      <x:c r="A94" s="89" t="n">
        <x:v>89</x:v>
      </x:c>
      <x:c r="B94" s="89" t="str">
        <x:v>v1-mainnet-0089</x:v>
      </x:c>
      <x:c r="C94" s="90" t="str">
        <x:v>0xcc7e24bc5c5a155b46582475f9fa73fb4fa845b3</x:v>
      </x:c>
      <x:c r="D94" s="98" t="str"/>
      <x:c r="E94" s="98" t="str">
        <x:v>EOA_CANDIDATE</x:v>
      </x:c>
      <x:c r="F94" s="91" t="b">
        <x:v>0</x:v>
      </x:c>
      <x:c r="G94" s="89" t="n">
        <x:v>0</x:v>
      </x:c>
      <x:c r="H94" s="90" t="str">
        <x:v>9848200000000</x:v>
      </x:c>
      <x:c r="I94" s="92" t="n">
        <x:v>9.8482</x:v>
      </x:c>
      <x:c r="J94" s="92" t="str">
        <x:v>9848200000000000000</x:v>
      </x:c>
      <x:c r="K94" s="92" t="n">
        <x:v>9.8482</x:v>
      </x:c>
      <x:c r="L94" s="98" t="str">
        <x:v>PENDING_OWNER_ELIGIBILITY_APPROVAL</x:v>
      </x:c>
      <x:c r="M94" s="98" t="b">
        <x:f>IF(E94="EOA_CANDIDATE",I94&gt;='Decision Summary'!$B$11,FALSE)</x:f>
        <x:v>0</x:v>
      </x:c>
      <x:c r="N94" s="98" t="str">
        <x:f>IF(M94,"DRAFT INCLUDE","HOLD / EXCLUDE")</x:f>
        <x:v>HOLD / EXCLUDE</x:v>
      </x:c>
      <x:c r="O94" s="101" t="str">
        <x:f>IF(M94,C94,"")</x:f>
      </x:c>
      <x:c r="P94" s="98" t="str">
        <x:f>IF(N94="DRAFT INCLUDE",ROUNDUP(COUNTIF($N$6:N94,"DRAFT INCLUDE")/'Decision Summary'!$B$12,0),"")</x:f>
      </x:c>
      <x:c r="Q94" s="98" t="str">
        <x:f>IF(N94="DRAFT INCLUDE",MOD(COUNTIF($N$6:N94,"DRAFT INCLUDE")-1,'Decision Summary'!$B$12)+1,"")</x:f>
      </x:c>
      <x:c r="R94" s="98" t="str">
        <x:v>PENDING</x:v>
      </x:c>
      <x:c r="S94" s="98" t="str"/>
      <x:c r="T94" s="98" t="str">
        <x:v>Ordinary EOA candidate; inclusion still depends on V1 deprecation, threshold policy and owner approval.</x:v>
      </x:c>
      <x:c r="U94" s="89" t="str">
        <x:v>https://etherscan.io/token/0x445d03f499f1c150615957bb87588fb465fc91cc#balances</x:v>
      </x:c>
      <x:c r="V94" s="89" t="b">
        <x:f>COUNTIF($C$6:$C$502,C94)&gt;1</x:f>
        <x:v>0</x:v>
      </x:c>
    </x:row>
    <x:row r="95">
      <x:c r="A95" s="89" t="n">
        <x:v>90</x:v>
      </x:c>
      <x:c r="B95" s="89" t="str">
        <x:v>v1-mainnet-0090</x:v>
      </x:c>
      <x:c r="C95" s="90" t="str">
        <x:v>0xa3e1a5c87e7ec40e77370d2a3d1c63fa3aac065a</x:v>
      </x:c>
      <x:c r="D95" s="98" t="str"/>
      <x:c r="E95" s="98" t="str">
        <x:v>EOA_CANDIDATE</x:v>
      </x:c>
      <x:c r="F95" s="91" t="b">
        <x:v>0</x:v>
      </x:c>
      <x:c r="G95" s="89" t="n">
        <x:v>0</x:v>
      </x:c>
      <x:c r="H95" s="90" t="str">
        <x:v>9839900000000</x:v>
      </x:c>
      <x:c r="I95" s="92" t="n">
        <x:v>9.8399</x:v>
      </x:c>
      <x:c r="J95" s="92" t="str">
        <x:v>9839900000000000000</x:v>
      </x:c>
      <x:c r="K95" s="92" t="n">
        <x:v>9.8399</x:v>
      </x:c>
      <x:c r="L95" s="98" t="str">
        <x:v>PENDING_OWNER_ELIGIBILITY_APPROVAL</x:v>
      </x:c>
      <x:c r="M95" s="98" t="b">
        <x:f>IF(E95="EOA_CANDIDATE",I95&gt;='Decision Summary'!$B$11,FALSE)</x:f>
        <x:v>0</x:v>
      </x:c>
      <x:c r="N95" s="98" t="str">
        <x:f>IF(M95,"DRAFT INCLUDE","HOLD / EXCLUDE")</x:f>
        <x:v>HOLD / EXCLUDE</x:v>
      </x:c>
      <x:c r="O95" s="101" t="str">
        <x:f>IF(M95,C95,"")</x:f>
      </x:c>
      <x:c r="P95" s="98" t="str">
        <x:f>IF(N95="DRAFT INCLUDE",ROUNDUP(COUNTIF($N$6:N95,"DRAFT INCLUDE")/'Decision Summary'!$B$12,0),"")</x:f>
      </x:c>
      <x:c r="Q95" s="98" t="str">
        <x:f>IF(N95="DRAFT INCLUDE",MOD(COUNTIF($N$6:N95,"DRAFT INCLUDE")-1,'Decision Summary'!$B$12)+1,"")</x:f>
      </x:c>
      <x:c r="R95" s="98" t="str">
        <x:v>PENDING</x:v>
      </x:c>
      <x:c r="S95" s="98" t="str"/>
      <x:c r="T95" s="98" t="str">
        <x:v>Ordinary EOA candidate; inclusion still depends on V1 deprecation, threshold policy and owner approval.</x:v>
      </x:c>
      <x:c r="U95" s="89" t="str">
        <x:v>https://etherscan.io/token/0x445d03f499f1c150615957bb87588fb465fc91cc#balances</x:v>
      </x:c>
      <x:c r="V95" s="89" t="b">
        <x:f>COUNTIF($C$6:$C$502,C95)&gt;1</x:f>
        <x:v>0</x:v>
      </x:c>
    </x:row>
    <x:row r="96">
      <x:c r="A96" s="89" t="n">
        <x:v>91</x:v>
      </x:c>
      <x:c r="B96" s="89" t="str">
        <x:v>v1-mainnet-0091</x:v>
      </x:c>
      <x:c r="C96" s="90" t="str">
        <x:v>0xe4ad29e3dd530c3b69f5387bcc55238a09b56584</x:v>
      </x:c>
      <x:c r="D96" s="98" t="str"/>
      <x:c r="E96" s="98" t="str">
        <x:v>EOA_CANDIDATE</x:v>
      </x:c>
      <x:c r="F96" s="91" t="b">
        <x:v>0</x:v>
      </x:c>
      <x:c r="G96" s="89" t="n">
        <x:v>0</x:v>
      </x:c>
      <x:c r="H96" s="90" t="str">
        <x:v>9823500000000</x:v>
      </x:c>
      <x:c r="I96" s="92" t="n">
        <x:v>9.8235</x:v>
      </x:c>
      <x:c r="J96" s="92" t="str">
        <x:v>9823500000000000000</x:v>
      </x:c>
      <x:c r="K96" s="92" t="n">
        <x:v>9.8235</x:v>
      </x:c>
      <x:c r="L96" s="98" t="str">
        <x:v>PENDING_OWNER_ELIGIBILITY_APPROVAL</x:v>
      </x:c>
      <x:c r="M96" s="98" t="b">
        <x:f>IF(E96="EOA_CANDIDATE",I96&gt;='Decision Summary'!$B$11,FALSE)</x:f>
        <x:v>0</x:v>
      </x:c>
      <x:c r="N96" s="98" t="str">
        <x:f>IF(M96,"DRAFT INCLUDE","HOLD / EXCLUDE")</x:f>
        <x:v>HOLD / EXCLUDE</x:v>
      </x:c>
      <x:c r="O96" s="101" t="str">
        <x:f>IF(M96,C96,"")</x:f>
      </x:c>
      <x:c r="P96" s="98" t="str">
        <x:f>IF(N96="DRAFT INCLUDE",ROUNDUP(COUNTIF($N$6:N96,"DRAFT INCLUDE")/'Decision Summary'!$B$12,0),"")</x:f>
      </x:c>
      <x:c r="Q96" s="98" t="str">
        <x:f>IF(N96="DRAFT INCLUDE",MOD(COUNTIF($N$6:N96,"DRAFT INCLUDE")-1,'Decision Summary'!$B$12)+1,"")</x:f>
      </x:c>
      <x:c r="R96" s="98" t="str">
        <x:v>PENDING</x:v>
      </x:c>
      <x:c r="S96" s="98" t="str"/>
      <x:c r="T96" s="98" t="str">
        <x:v>Ordinary EOA candidate; inclusion still depends on V1 deprecation, threshold policy and owner approval.</x:v>
      </x:c>
      <x:c r="U96" s="89" t="str">
        <x:v>https://etherscan.io/token/0x445d03f499f1c150615957bb87588fb465fc91cc#balances</x:v>
      </x:c>
      <x:c r="V96" s="89" t="b">
        <x:f>COUNTIF($C$6:$C$502,C96)&gt;1</x:f>
        <x:v>0</x:v>
      </x:c>
    </x:row>
    <x:row r="97">
      <x:c r="A97" s="89" t="n">
        <x:v>92</x:v>
      </x:c>
      <x:c r="B97" s="89" t="str">
        <x:v>v1-mainnet-0092</x:v>
      </x:c>
      <x:c r="C97" s="90" t="str">
        <x:v>0x90b56c2f2716c06db55cc5017b8903439858d53a</x:v>
      </x:c>
      <x:c r="D97" s="98" t="str"/>
      <x:c r="E97" s="98" t="str">
        <x:v>EOA_CANDIDATE</x:v>
      </x:c>
      <x:c r="F97" s="91" t="b">
        <x:v>0</x:v>
      </x:c>
      <x:c r="G97" s="89" t="n">
        <x:v>0</x:v>
      </x:c>
      <x:c r="H97" s="90" t="str">
        <x:v>9810500000000</x:v>
      </x:c>
      <x:c r="I97" s="92" t="n">
        <x:v>9.8105</x:v>
      </x:c>
      <x:c r="J97" s="92" t="str">
        <x:v>9810500000000000000</x:v>
      </x:c>
      <x:c r="K97" s="92" t="n">
        <x:v>9.8105</x:v>
      </x:c>
      <x:c r="L97" s="98" t="str">
        <x:v>PENDING_OWNER_ELIGIBILITY_APPROVAL</x:v>
      </x:c>
      <x:c r="M97" s="98" t="b">
        <x:f>IF(E97="EOA_CANDIDATE",I97&gt;='Decision Summary'!$B$11,FALSE)</x:f>
        <x:v>0</x:v>
      </x:c>
      <x:c r="N97" s="98" t="str">
        <x:f>IF(M97,"DRAFT INCLUDE","HOLD / EXCLUDE")</x:f>
        <x:v>HOLD / EXCLUDE</x:v>
      </x:c>
      <x:c r="O97" s="101" t="str">
        <x:f>IF(M97,C97,"")</x:f>
      </x:c>
      <x:c r="P97" s="98" t="str">
        <x:f>IF(N97="DRAFT INCLUDE",ROUNDUP(COUNTIF($N$6:N97,"DRAFT INCLUDE")/'Decision Summary'!$B$12,0),"")</x:f>
      </x:c>
      <x:c r="Q97" s="98" t="str">
        <x:f>IF(N97="DRAFT INCLUDE",MOD(COUNTIF($N$6:N97,"DRAFT INCLUDE")-1,'Decision Summary'!$B$12)+1,"")</x:f>
      </x:c>
      <x:c r="R97" s="98" t="str">
        <x:v>PENDING</x:v>
      </x:c>
      <x:c r="S97" s="98" t="str"/>
      <x:c r="T97" s="98" t="str">
        <x:v>Ordinary EOA candidate; inclusion still depends on V1 deprecation, threshold policy and owner approval.</x:v>
      </x:c>
      <x:c r="U97" s="89" t="str">
        <x:v>https://etherscan.io/token/0x445d03f499f1c150615957bb87588fb465fc91cc#balances</x:v>
      </x:c>
      <x:c r="V97" s="89" t="b">
        <x:f>COUNTIF($C$6:$C$502,C97)&gt;1</x:f>
        <x:v>0</x:v>
      </x:c>
    </x:row>
    <x:row r="98">
      <x:c r="A98" s="89" t="n">
        <x:v>93</x:v>
      </x:c>
      <x:c r="B98" s="89" t="str">
        <x:v>v1-mainnet-0093</x:v>
      </x:c>
      <x:c r="C98" s="90" t="str">
        <x:v>0x27a0e43f459bf8e330eb4e993cade098348ac6a1</x:v>
      </x:c>
      <x:c r="D98" s="98" t="str"/>
      <x:c r="E98" s="98" t="str">
        <x:v>EOA_CANDIDATE</x:v>
      </x:c>
      <x:c r="F98" s="91" t="b">
        <x:v>0</x:v>
      </x:c>
      <x:c r="G98" s="89" t="n">
        <x:v>0</x:v>
      </x:c>
      <x:c r="H98" s="90" t="str">
        <x:v>9795000000000</x:v>
      </x:c>
      <x:c r="I98" s="92" t="n">
        <x:v>9.795</x:v>
      </x:c>
      <x:c r="J98" s="92" t="str">
        <x:v>9795000000000000000</x:v>
      </x:c>
      <x:c r="K98" s="92" t="n">
        <x:v>9.795</x:v>
      </x:c>
      <x:c r="L98" s="98" t="str">
        <x:v>PENDING_OWNER_ELIGIBILITY_APPROVAL</x:v>
      </x:c>
      <x:c r="M98" s="98" t="b">
        <x:f>IF(E98="EOA_CANDIDATE",I98&gt;='Decision Summary'!$B$11,FALSE)</x:f>
        <x:v>0</x:v>
      </x:c>
      <x:c r="N98" s="98" t="str">
        <x:f>IF(M98,"DRAFT INCLUDE","HOLD / EXCLUDE")</x:f>
        <x:v>HOLD / EXCLUDE</x:v>
      </x:c>
      <x:c r="O98" s="101" t="str">
        <x:f>IF(M98,C98,"")</x:f>
      </x:c>
      <x:c r="P98" s="98" t="str">
        <x:f>IF(N98="DRAFT INCLUDE",ROUNDUP(COUNTIF($N$6:N98,"DRAFT INCLUDE")/'Decision Summary'!$B$12,0),"")</x:f>
      </x:c>
      <x:c r="Q98" s="98" t="str">
        <x:f>IF(N98="DRAFT INCLUDE",MOD(COUNTIF($N$6:N98,"DRAFT INCLUDE")-1,'Decision Summary'!$B$12)+1,"")</x:f>
      </x:c>
      <x:c r="R98" s="98" t="str">
        <x:v>PENDING</x:v>
      </x:c>
      <x:c r="S98" s="98" t="str"/>
      <x:c r="T98" s="98" t="str">
        <x:v>Ordinary EOA candidate; inclusion still depends on V1 deprecation, threshold policy and owner approval.</x:v>
      </x:c>
      <x:c r="U98" s="89" t="str">
        <x:v>https://etherscan.io/token/0x445d03f499f1c150615957bb87588fb465fc91cc#balances</x:v>
      </x:c>
      <x:c r="V98" s="89" t="b">
        <x:f>COUNTIF($C$6:$C$502,C98)&gt;1</x:f>
        <x:v>0</x:v>
      </x:c>
    </x:row>
    <x:row r="99">
      <x:c r="A99" s="89" t="n">
        <x:v>94</x:v>
      </x:c>
      <x:c r="B99" s="89" t="str">
        <x:v>v1-mainnet-0094</x:v>
      </x:c>
      <x:c r="C99" s="90" t="str">
        <x:v>0xb6512fb46aabd556241266aa3e7e50478f7bafed</x:v>
      </x:c>
      <x:c r="D99" s="98" t="str"/>
      <x:c r="E99" s="98" t="str">
        <x:v>EOA_CANDIDATE</x:v>
      </x:c>
      <x:c r="F99" s="91" t="b">
        <x:v>0</x:v>
      </x:c>
      <x:c r="G99" s="89" t="n">
        <x:v>0</x:v>
      </x:c>
      <x:c r="H99" s="90" t="str">
        <x:v>9729900000000</x:v>
      </x:c>
      <x:c r="I99" s="92" t="n">
        <x:v>9.7299</x:v>
      </x:c>
      <x:c r="J99" s="92" t="str">
        <x:v>9729900000000000000</x:v>
      </x:c>
      <x:c r="K99" s="92" t="n">
        <x:v>9.7299</x:v>
      </x:c>
      <x:c r="L99" s="98" t="str">
        <x:v>PENDING_OWNER_ELIGIBILITY_APPROVAL</x:v>
      </x:c>
      <x:c r="M99" s="98" t="b">
        <x:f>IF(E99="EOA_CANDIDATE",I99&gt;='Decision Summary'!$B$11,FALSE)</x:f>
        <x:v>0</x:v>
      </x:c>
      <x:c r="N99" s="98" t="str">
        <x:f>IF(M99,"DRAFT INCLUDE","HOLD / EXCLUDE")</x:f>
        <x:v>HOLD / EXCLUDE</x:v>
      </x:c>
      <x:c r="O99" s="101" t="str">
        <x:f>IF(M99,C99,"")</x:f>
      </x:c>
      <x:c r="P99" s="98" t="str">
        <x:f>IF(N99="DRAFT INCLUDE",ROUNDUP(COUNTIF($N$6:N99,"DRAFT INCLUDE")/'Decision Summary'!$B$12,0),"")</x:f>
      </x:c>
      <x:c r="Q99" s="98" t="str">
        <x:f>IF(N99="DRAFT INCLUDE",MOD(COUNTIF($N$6:N99,"DRAFT INCLUDE")-1,'Decision Summary'!$B$12)+1,"")</x:f>
      </x:c>
      <x:c r="R99" s="98" t="str">
        <x:v>PENDING</x:v>
      </x:c>
      <x:c r="S99" s="98" t="str"/>
      <x:c r="T99" s="98" t="str">
        <x:v>Ordinary EOA candidate; inclusion still depends on V1 deprecation, threshold policy and owner approval.</x:v>
      </x:c>
      <x:c r="U99" s="89" t="str">
        <x:v>https://etherscan.io/token/0x445d03f499f1c150615957bb87588fb465fc91cc#balances</x:v>
      </x:c>
      <x:c r="V99" s="89" t="b">
        <x:f>COUNTIF($C$6:$C$502,C99)&gt;1</x:f>
        <x:v>0</x:v>
      </x:c>
    </x:row>
    <x:row r="100">
      <x:c r="A100" s="89" t="n">
        <x:v>95</x:v>
      </x:c>
      <x:c r="B100" s="89" t="str">
        <x:v>v1-mainnet-0095</x:v>
      </x:c>
      <x:c r="C100" s="90" t="str">
        <x:v>0xdbe41966c6160335c4aa28df0f0bf6830ea30118</x:v>
      </x:c>
      <x:c r="D100" s="98" t="str"/>
      <x:c r="E100" s="98" t="str">
        <x:v>EOA_CANDIDATE</x:v>
      </x:c>
      <x:c r="F100" s="91" t="b">
        <x:v>0</x:v>
      </x:c>
      <x:c r="G100" s="89" t="n">
        <x:v>0</x:v>
      </x:c>
      <x:c r="H100" s="90" t="str">
        <x:v>9702200000000</x:v>
      </x:c>
      <x:c r="I100" s="92" t="n">
        <x:v>9.7022</x:v>
      </x:c>
      <x:c r="J100" s="92" t="str">
        <x:v>9702200000000000000</x:v>
      </x:c>
      <x:c r="K100" s="92" t="n">
        <x:v>9.7022</x:v>
      </x:c>
      <x:c r="L100" s="98" t="str">
        <x:v>PENDING_OWNER_ELIGIBILITY_APPROVAL</x:v>
      </x:c>
      <x:c r="M100" s="98" t="b">
        <x:f>IF(E100="EOA_CANDIDATE",I100&gt;='Decision Summary'!$B$11,FALSE)</x:f>
        <x:v>0</x:v>
      </x:c>
      <x:c r="N100" s="98" t="str">
        <x:f>IF(M100,"DRAFT INCLUDE","HOLD / EXCLUDE")</x:f>
        <x:v>HOLD / EXCLUDE</x:v>
      </x:c>
      <x:c r="O100" s="101" t="str">
        <x:f>IF(M100,C100,"")</x:f>
      </x:c>
      <x:c r="P100" s="98" t="str">
        <x:f>IF(N100="DRAFT INCLUDE",ROUNDUP(COUNTIF($N$6:N100,"DRAFT INCLUDE")/'Decision Summary'!$B$12,0),"")</x:f>
      </x:c>
      <x:c r="Q100" s="98" t="str">
        <x:f>IF(N100="DRAFT INCLUDE",MOD(COUNTIF($N$6:N100,"DRAFT INCLUDE")-1,'Decision Summary'!$B$12)+1,"")</x:f>
      </x:c>
      <x:c r="R100" s="98" t="str">
        <x:v>PENDING</x:v>
      </x:c>
      <x:c r="S100" s="98" t="str"/>
      <x:c r="T100" s="98" t="str">
        <x:v>Ordinary EOA candidate; inclusion still depends on V1 deprecation, threshold policy and owner approval.</x:v>
      </x:c>
      <x:c r="U100" s="89" t="str">
        <x:v>https://etherscan.io/token/0x445d03f499f1c150615957bb87588fb465fc91cc#balances</x:v>
      </x:c>
      <x:c r="V100" s="89" t="b">
        <x:f>COUNTIF($C$6:$C$502,C100)&gt;1</x:f>
        <x:v>0</x:v>
      </x:c>
    </x:row>
    <x:row r="101">
      <x:c r="A101" s="89" t="n">
        <x:v>96</x:v>
      </x:c>
      <x:c r="B101" s="89" t="str">
        <x:v>v1-mainnet-0096</x:v>
      </x:c>
      <x:c r="C101" s="90" t="str">
        <x:v>0xb4d4b1acc6550bab0606eaf52d106dd48bcbefc0</x:v>
      </x:c>
      <x:c r="D101" s="98" t="str"/>
      <x:c r="E101" s="98" t="str">
        <x:v>EOA_CANDIDATE</x:v>
      </x:c>
      <x:c r="F101" s="91" t="b">
        <x:v>0</x:v>
      </x:c>
      <x:c r="G101" s="89" t="n">
        <x:v>0</x:v>
      </x:c>
      <x:c r="H101" s="90" t="str">
        <x:v>9669400000000</x:v>
      </x:c>
      <x:c r="I101" s="92" t="n">
        <x:v>9.6694</x:v>
      </x:c>
      <x:c r="J101" s="92" t="str">
        <x:v>9669400000000000000</x:v>
      </x:c>
      <x:c r="K101" s="92" t="n">
        <x:v>9.6694</x:v>
      </x:c>
      <x:c r="L101" s="98" t="str">
        <x:v>PENDING_OWNER_ELIGIBILITY_APPROVAL</x:v>
      </x:c>
      <x:c r="M101" s="98" t="b">
        <x:f>IF(E101="EOA_CANDIDATE",I101&gt;='Decision Summary'!$B$11,FALSE)</x:f>
        <x:v>0</x:v>
      </x:c>
      <x:c r="N101" s="98" t="str">
        <x:f>IF(M101,"DRAFT INCLUDE","HOLD / EXCLUDE")</x:f>
        <x:v>HOLD / EXCLUDE</x:v>
      </x:c>
      <x:c r="O101" s="101" t="str">
        <x:f>IF(M101,C101,"")</x:f>
      </x:c>
      <x:c r="P101" s="98" t="str">
        <x:f>IF(N101="DRAFT INCLUDE",ROUNDUP(COUNTIF($N$6:N101,"DRAFT INCLUDE")/'Decision Summary'!$B$12,0),"")</x:f>
      </x:c>
      <x:c r="Q101" s="98" t="str">
        <x:f>IF(N101="DRAFT INCLUDE",MOD(COUNTIF($N$6:N101,"DRAFT INCLUDE")-1,'Decision Summary'!$B$12)+1,"")</x:f>
      </x:c>
      <x:c r="R101" s="98" t="str">
        <x:v>PENDING</x:v>
      </x:c>
      <x:c r="S101" s="98" t="str"/>
      <x:c r="T101" s="98" t="str">
        <x:v>Ordinary EOA candidate; inclusion still depends on V1 deprecation, threshold policy and owner approval.</x:v>
      </x:c>
      <x:c r="U101" s="89" t="str">
        <x:v>https://etherscan.io/token/0x445d03f499f1c150615957bb87588fb465fc91cc#balances</x:v>
      </x:c>
      <x:c r="V101" s="89" t="b">
        <x:f>COUNTIF($C$6:$C$502,C101)&gt;1</x:f>
        <x:v>0</x:v>
      </x:c>
    </x:row>
    <x:row r="102">
      <x:c r="A102" s="89" t="n">
        <x:v>97</x:v>
      </x:c>
      <x:c r="B102" s="89" t="str">
        <x:v>v1-mainnet-0097</x:v>
      </x:c>
      <x:c r="C102" s="90" t="str">
        <x:v>0xbf281a0a178ed320e9222b3e74fad3b8172a1ee6</x:v>
      </x:c>
      <x:c r="D102" s="98" t="str"/>
      <x:c r="E102" s="98" t="str">
        <x:v>EOA_CANDIDATE</x:v>
      </x:c>
      <x:c r="F102" s="91" t="b">
        <x:v>0</x:v>
      </x:c>
      <x:c r="G102" s="89" t="n">
        <x:v>0</x:v>
      </x:c>
      <x:c r="H102" s="90" t="str">
        <x:v>9653700000000</x:v>
      </x:c>
      <x:c r="I102" s="92" t="n">
        <x:v>9.6537</x:v>
      </x:c>
      <x:c r="J102" s="92" t="str">
        <x:v>9653700000000000000</x:v>
      </x:c>
      <x:c r="K102" s="92" t="n">
        <x:v>9.6537</x:v>
      </x:c>
      <x:c r="L102" s="98" t="str">
        <x:v>PENDING_OWNER_ELIGIBILITY_APPROVAL</x:v>
      </x:c>
      <x:c r="M102" s="98" t="b">
        <x:f>IF(E102="EOA_CANDIDATE",I102&gt;='Decision Summary'!$B$11,FALSE)</x:f>
        <x:v>0</x:v>
      </x:c>
      <x:c r="N102" s="98" t="str">
        <x:f>IF(M102,"DRAFT INCLUDE","HOLD / EXCLUDE")</x:f>
        <x:v>HOLD / EXCLUDE</x:v>
      </x:c>
      <x:c r="O102" s="101" t="str">
        <x:f>IF(M102,C102,"")</x:f>
      </x:c>
      <x:c r="P102" s="98" t="str">
        <x:f>IF(N102="DRAFT INCLUDE",ROUNDUP(COUNTIF($N$6:N102,"DRAFT INCLUDE")/'Decision Summary'!$B$12,0),"")</x:f>
      </x:c>
      <x:c r="Q102" s="98" t="str">
        <x:f>IF(N102="DRAFT INCLUDE",MOD(COUNTIF($N$6:N102,"DRAFT INCLUDE")-1,'Decision Summary'!$B$12)+1,"")</x:f>
      </x:c>
      <x:c r="R102" s="98" t="str">
        <x:v>PENDING</x:v>
      </x:c>
      <x:c r="S102" s="98" t="str"/>
      <x:c r="T102" s="98" t="str">
        <x:v>Ordinary EOA candidate; inclusion still depends on V1 deprecation, threshold policy and owner approval.</x:v>
      </x:c>
      <x:c r="U102" s="89" t="str">
        <x:v>https://etherscan.io/token/0x445d03f499f1c150615957bb87588fb465fc91cc#balances</x:v>
      </x:c>
      <x:c r="V102" s="89" t="b">
        <x:f>COUNTIF($C$6:$C$502,C102)&gt;1</x:f>
        <x:v>0</x:v>
      </x:c>
    </x:row>
    <x:row r="103">
      <x:c r="A103" s="89" t="n">
        <x:v>98</x:v>
      </x:c>
      <x:c r="B103" s="89" t="str">
        <x:v>v1-mainnet-0098</x:v>
      </x:c>
      <x:c r="C103" s="90" t="str">
        <x:v>0x7e2362c50d4506032d66b445f4873527c21e7a13</x:v>
      </x:c>
      <x:c r="D103" s="98" t="str"/>
      <x:c r="E103" s="98" t="str">
        <x:v>EOA_CANDIDATE</x:v>
      </x:c>
      <x:c r="F103" s="91" t="b">
        <x:v>0</x:v>
      </x:c>
      <x:c r="G103" s="89" t="n">
        <x:v>0</x:v>
      </x:c>
      <x:c r="H103" s="90" t="str">
        <x:v>9651900000000</x:v>
      </x:c>
      <x:c r="I103" s="92" t="n">
        <x:v>9.6519</x:v>
      </x:c>
      <x:c r="J103" s="92" t="str">
        <x:v>9651900000000000000</x:v>
      </x:c>
      <x:c r="K103" s="92" t="n">
        <x:v>9.6519</x:v>
      </x:c>
      <x:c r="L103" s="98" t="str">
        <x:v>PENDING_OWNER_ELIGIBILITY_APPROVAL</x:v>
      </x:c>
      <x:c r="M103" s="98" t="b">
        <x:f>IF(E103="EOA_CANDIDATE",I103&gt;='Decision Summary'!$B$11,FALSE)</x:f>
        <x:v>0</x:v>
      </x:c>
      <x:c r="N103" s="98" t="str">
        <x:f>IF(M103,"DRAFT INCLUDE","HOLD / EXCLUDE")</x:f>
        <x:v>HOLD / EXCLUDE</x:v>
      </x:c>
      <x:c r="O103" s="101" t="str">
        <x:f>IF(M103,C103,"")</x:f>
      </x:c>
      <x:c r="P103" s="98" t="str">
        <x:f>IF(N103="DRAFT INCLUDE",ROUNDUP(COUNTIF($N$6:N103,"DRAFT INCLUDE")/'Decision Summary'!$B$12,0),"")</x:f>
      </x:c>
      <x:c r="Q103" s="98" t="str">
        <x:f>IF(N103="DRAFT INCLUDE",MOD(COUNTIF($N$6:N103,"DRAFT INCLUDE")-1,'Decision Summary'!$B$12)+1,"")</x:f>
      </x:c>
      <x:c r="R103" s="98" t="str">
        <x:v>PENDING</x:v>
      </x:c>
      <x:c r="S103" s="98" t="str"/>
      <x:c r="T103" s="98" t="str">
        <x:v>Ordinary EOA candidate; inclusion still depends on V1 deprecation, threshold policy and owner approval.</x:v>
      </x:c>
      <x:c r="U103" s="89" t="str">
        <x:v>https://etherscan.io/token/0x445d03f499f1c150615957bb87588fb465fc91cc#balances</x:v>
      </x:c>
      <x:c r="V103" s="89" t="b">
        <x:f>COUNTIF($C$6:$C$502,C103)&gt;1</x:f>
        <x:v>0</x:v>
      </x:c>
    </x:row>
    <x:row r="104">
      <x:c r="A104" s="89" t="n">
        <x:v>99</x:v>
      </x:c>
      <x:c r="B104" s="89" t="str">
        <x:v>v1-mainnet-0099</x:v>
      </x:c>
      <x:c r="C104" s="90" t="str">
        <x:v>0x79f32d20da5306b62c30373776ef26c294d301f9</x:v>
      </x:c>
      <x:c r="D104" s="98" t="str"/>
      <x:c r="E104" s="98" t="str">
        <x:v>EOA_CANDIDATE</x:v>
      </x:c>
      <x:c r="F104" s="91" t="b">
        <x:v>0</x:v>
      </x:c>
      <x:c r="G104" s="89" t="n">
        <x:v>0</x:v>
      </x:c>
      <x:c r="H104" s="90" t="str">
        <x:v>9642200000000</x:v>
      </x:c>
      <x:c r="I104" s="92" t="n">
        <x:v>9.6422</x:v>
      </x:c>
      <x:c r="J104" s="92" t="str">
        <x:v>9642200000000000000</x:v>
      </x:c>
      <x:c r="K104" s="92" t="n">
        <x:v>9.6422</x:v>
      </x:c>
      <x:c r="L104" s="98" t="str">
        <x:v>PENDING_OWNER_ELIGIBILITY_APPROVAL</x:v>
      </x:c>
      <x:c r="M104" s="98" t="b">
        <x:f>IF(E104="EOA_CANDIDATE",I104&gt;='Decision Summary'!$B$11,FALSE)</x:f>
        <x:v>0</x:v>
      </x:c>
      <x:c r="N104" s="98" t="str">
        <x:f>IF(M104,"DRAFT INCLUDE","HOLD / EXCLUDE")</x:f>
        <x:v>HOLD / EXCLUDE</x:v>
      </x:c>
      <x:c r="O104" s="101" t="str">
        <x:f>IF(M104,C104,"")</x:f>
      </x:c>
      <x:c r="P104" s="98" t="str">
        <x:f>IF(N104="DRAFT INCLUDE",ROUNDUP(COUNTIF($N$6:N104,"DRAFT INCLUDE")/'Decision Summary'!$B$12,0),"")</x:f>
      </x:c>
      <x:c r="Q104" s="98" t="str">
        <x:f>IF(N104="DRAFT INCLUDE",MOD(COUNTIF($N$6:N104,"DRAFT INCLUDE")-1,'Decision Summary'!$B$12)+1,"")</x:f>
      </x:c>
      <x:c r="R104" s="98" t="str">
        <x:v>PENDING</x:v>
      </x:c>
      <x:c r="S104" s="98" t="str"/>
      <x:c r="T104" s="98" t="str">
        <x:v>Ordinary EOA candidate; inclusion still depends on V1 deprecation, threshold policy and owner approval.</x:v>
      </x:c>
      <x:c r="U104" s="89" t="str">
        <x:v>https://etherscan.io/token/0x445d03f499f1c150615957bb87588fb465fc91cc#balances</x:v>
      </x:c>
      <x:c r="V104" s="89" t="b">
        <x:f>COUNTIF($C$6:$C$502,C104)&gt;1</x:f>
        <x:v>0</x:v>
      </x:c>
    </x:row>
    <x:row r="105">
      <x:c r="A105" s="89" t="n">
        <x:v>100</x:v>
      </x:c>
      <x:c r="B105" s="89" t="str">
        <x:v>v1-mainnet-0100</x:v>
      </x:c>
      <x:c r="C105" s="90" t="str">
        <x:v>0x7d7d1d0226df170734fa2c9bab2bb749346fc3ed</x:v>
      </x:c>
      <x:c r="D105" s="98" t="str"/>
      <x:c r="E105" s="98" t="str">
        <x:v>EOA_CANDIDATE</x:v>
      </x:c>
      <x:c r="F105" s="91" t="b">
        <x:v>0</x:v>
      </x:c>
      <x:c r="G105" s="89" t="n">
        <x:v>0</x:v>
      </x:c>
      <x:c r="H105" s="90" t="str">
        <x:v>9640500000000</x:v>
      </x:c>
      <x:c r="I105" s="92" t="n">
        <x:v>9.6405</x:v>
      </x:c>
      <x:c r="J105" s="92" t="str">
        <x:v>9640500000000000000</x:v>
      </x:c>
      <x:c r="K105" s="92" t="n">
        <x:v>9.6405</x:v>
      </x:c>
      <x:c r="L105" s="98" t="str">
        <x:v>PENDING_OWNER_ELIGIBILITY_APPROVAL</x:v>
      </x:c>
      <x:c r="M105" s="98" t="b">
        <x:f>IF(E105="EOA_CANDIDATE",I105&gt;='Decision Summary'!$B$11,FALSE)</x:f>
        <x:v>0</x:v>
      </x:c>
      <x:c r="N105" s="98" t="str">
        <x:f>IF(M105,"DRAFT INCLUDE","HOLD / EXCLUDE")</x:f>
        <x:v>HOLD / EXCLUDE</x:v>
      </x:c>
      <x:c r="O105" s="101" t="str">
        <x:f>IF(M105,C105,"")</x:f>
      </x:c>
      <x:c r="P105" s="98" t="str">
        <x:f>IF(N105="DRAFT INCLUDE",ROUNDUP(COUNTIF($N$6:N105,"DRAFT INCLUDE")/'Decision Summary'!$B$12,0),"")</x:f>
      </x:c>
      <x:c r="Q105" s="98" t="str">
        <x:f>IF(N105="DRAFT INCLUDE",MOD(COUNTIF($N$6:N105,"DRAFT INCLUDE")-1,'Decision Summary'!$B$12)+1,"")</x:f>
      </x:c>
      <x:c r="R105" s="98" t="str">
        <x:v>PENDING</x:v>
      </x:c>
      <x:c r="S105" s="98" t="str"/>
      <x:c r="T105" s="98" t="str">
        <x:v>Ordinary EOA candidate; inclusion still depends on V1 deprecation, threshold policy and owner approval.</x:v>
      </x:c>
      <x:c r="U105" s="89" t="str">
        <x:v>https://etherscan.io/token/0x445d03f499f1c150615957bb87588fb465fc91cc#balances</x:v>
      </x:c>
      <x:c r="V105" s="89" t="b">
        <x:f>COUNTIF($C$6:$C$502,C105)&gt;1</x:f>
        <x:v>0</x:v>
      </x:c>
    </x:row>
    <x:row r="106">
      <x:c r="A106" s="89" t="n">
        <x:v>101</x:v>
      </x:c>
      <x:c r="B106" s="89" t="str">
        <x:v>v1-mainnet-0101</x:v>
      </x:c>
      <x:c r="C106" s="90" t="str">
        <x:v>0xa33c44baaeafb555d53f171f5edf27856e96b2fc</x:v>
      </x:c>
      <x:c r="D106" s="98" t="str"/>
      <x:c r="E106" s="98" t="str">
        <x:v>EOA_CANDIDATE</x:v>
      </x:c>
      <x:c r="F106" s="91" t="b">
        <x:v>0</x:v>
      </x:c>
      <x:c r="G106" s="89" t="n">
        <x:v>0</x:v>
      </x:c>
      <x:c r="H106" s="90" t="str">
        <x:v>9628700000000</x:v>
      </x:c>
      <x:c r="I106" s="92" t="n">
        <x:v>9.6287</x:v>
      </x:c>
      <x:c r="J106" s="92" t="str">
        <x:v>9628700000000000000</x:v>
      </x:c>
      <x:c r="K106" s="92" t="n">
        <x:v>9.6287</x:v>
      </x:c>
      <x:c r="L106" s="98" t="str">
        <x:v>PENDING_OWNER_ELIGIBILITY_APPROVAL</x:v>
      </x:c>
      <x:c r="M106" s="98" t="b">
        <x:f>IF(E106="EOA_CANDIDATE",I106&gt;='Decision Summary'!$B$11,FALSE)</x:f>
        <x:v>0</x:v>
      </x:c>
      <x:c r="N106" s="98" t="str">
        <x:f>IF(M106,"DRAFT INCLUDE","HOLD / EXCLUDE")</x:f>
        <x:v>HOLD / EXCLUDE</x:v>
      </x:c>
      <x:c r="O106" s="101" t="str">
        <x:f>IF(M106,C106,"")</x:f>
      </x:c>
      <x:c r="P106" s="98" t="str">
        <x:f>IF(N106="DRAFT INCLUDE",ROUNDUP(COUNTIF($N$6:N106,"DRAFT INCLUDE")/'Decision Summary'!$B$12,0),"")</x:f>
      </x:c>
      <x:c r="Q106" s="98" t="str">
        <x:f>IF(N106="DRAFT INCLUDE",MOD(COUNTIF($N$6:N106,"DRAFT INCLUDE")-1,'Decision Summary'!$B$12)+1,"")</x:f>
      </x:c>
      <x:c r="R106" s="98" t="str">
        <x:v>PENDING</x:v>
      </x:c>
      <x:c r="S106" s="98" t="str"/>
      <x:c r="T106" s="98" t="str">
        <x:v>Ordinary EOA candidate; inclusion still depends on V1 deprecation, threshold policy and owner approval.</x:v>
      </x:c>
      <x:c r="U106" s="89" t="str">
        <x:v>https://etherscan.io/token/0x445d03f499f1c150615957bb87588fb465fc91cc#balances</x:v>
      </x:c>
      <x:c r="V106" s="89" t="b">
        <x:f>COUNTIF($C$6:$C$502,C106)&gt;1</x:f>
        <x:v>0</x:v>
      </x:c>
    </x:row>
    <x:row r="107">
      <x:c r="A107" s="89" t="n">
        <x:v>102</x:v>
      </x:c>
      <x:c r="B107" s="89" t="str">
        <x:v>v1-mainnet-0102</x:v>
      </x:c>
      <x:c r="C107" s="90" t="str">
        <x:v>0x2a3ad312ea9d51c839662f6272efbb46ecfae605</x:v>
      </x:c>
      <x:c r="D107" s="98" t="str"/>
      <x:c r="E107" s="98" t="str">
        <x:v>EOA_CANDIDATE</x:v>
      </x:c>
      <x:c r="F107" s="91" t="b">
        <x:v>0</x:v>
      </x:c>
      <x:c r="G107" s="89" t="n">
        <x:v>0</x:v>
      </x:c>
      <x:c r="H107" s="90" t="str">
        <x:v>9600400000000</x:v>
      </x:c>
      <x:c r="I107" s="92" t="n">
        <x:v>9.6004</x:v>
      </x:c>
      <x:c r="J107" s="92" t="str">
        <x:v>9600400000000000000</x:v>
      </x:c>
      <x:c r="K107" s="92" t="n">
        <x:v>9.6004</x:v>
      </x:c>
      <x:c r="L107" s="98" t="str">
        <x:v>PENDING_OWNER_ELIGIBILITY_APPROVAL</x:v>
      </x:c>
      <x:c r="M107" s="98" t="b">
        <x:f>IF(E107="EOA_CANDIDATE",I107&gt;='Decision Summary'!$B$11,FALSE)</x:f>
        <x:v>0</x:v>
      </x:c>
      <x:c r="N107" s="98" t="str">
        <x:f>IF(M107,"DRAFT INCLUDE","HOLD / EXCLUDE")</x:f>
        <x:v>HOLD / EXCLUDE</x:v>
      </x:c>
      <x:c r="O107" s="101" t="str">
        <x:f>IF(M107,C107,"")</x:f>
      </x:c>
      <x:c r="P107" s="98" t="str">
        <x:f>IF(N107="DRAFT INCLUDE",ROUNDUP(COUNTIF($N$6:N107,"DRAFT INCLUDE")/'Decision Summary'!$B$12,0),"")</x:f>
      </x:c>
      <x:c r="Q107" s="98" t="str">
        <x:f>IF(N107="DRAFT INCLUDE",MOD(COUNTIF($N$6:N107,"DRAFT INCLUDE")-1,'Decision Summary'!$B$12)+1,"")</x:f>
      </x:c>
      <x:c r="R107" s="98" t="str">
        <x:v>PENDING</x:v>
      </x:c>
      <x:c r="S107" s="98" t="str"/>
      <x:c r="T107" s="98" t="str">
        <x:v>Ordinary EOA candidate; inclusion still depends on V1 deprecation, threshold policy and owner approval.</x:v>
      </x:c>
      <x:c r="U107" s="89" t="str">
        <x:v>https://etherscan.io/token/0x445d03f499f1c150615957bb87588fb465fc91cc#balances</x:v>
      </x:c>
      <x:c r="V107" s="89" t="b">
        <x:f>COUNTIF($C$6:$C$502,C107)&gt;1</x:f>
        <x:v>0</x:v>
      </x:c>
    </x:row>
    <x:row r="108">
      <x:c r="A108" s="89" t="n">
        <x:v>103</x:v>
      </x:c>
      <x:c r="B108" s="89" t="str">
        <x:v>v1-mainnet-0103</x:v>
      </x:c>
      <x:c r="C108" s="90" t="str">
        <x:v>0x51f48b36c560e3ee0b5d6e5220d2554e6a7a078c</x:v>
      </x:c>
      <x:c r="D108" s="98" t="str"/>
      <x:c r="E108" s="98" t="str">
        <x:v>EOA_CANDIDATE</x:v>
      </x:c>
      <x:c r="F108" s="91" t="b">
        <x:v>0</x:v>
      </x:c>
      <x:c r="G108" s="89" t="n">
        <x:v>0</x:v>
      </x:c>
      <x:c r="H108" s="90" t="str">
        <x:v>9596900000000</x:v>
      </x:c>
      <x:c r="I108" s="92" t="n">
        <x:v>9.5969</x:v>
      </x:c>
      <x:c r="J108" s="92" t="str">
        <x:v>9596900000000000000</x:v>
      </x:c>
      <x:c r="K108" s="92" t="n">
        <x:v>9.5969</x:v>
      </x:c>
      <x:c r="L108" s="98" t="str">
        <x:v>PENDING_OWNER_ELIGIBILITY_APPROVAL</x:v>
      </x:c>
      <x:c r="M108" s="98" t="b">
        <x:f>IF(E108="EOA_CANDIDATE",I108&gt;='Decision Summary'!$B$11,FALSE)</x:f>
        <x:v>0</x:v>
      </x:c>
      <x:c r="N108" s="98" t="str">
        <x:f>IF(M108,"DRAFT INCLUDE","HOLD / EXCLUDE")</x:f>
        <x:v>HOLD / EXCLUDE</x:v>
      </x:c>
      <x:c r="O108" s="101" t="str">
        <x:f>IF(M108,C108,"")</x:f>
      </x:c>
      <x:c r="P108" s="98" t="str">
        <x:f>IF(N108="DRAFT INCLUDE",ROUNDUP(COUNTIF($N$6:N108,"DRAFT INCLUDE")/'Decision Summary'!$B$12,0),"")</x:f>
      </x:c>
      <x:c r="Q108" s="98" t="str">
        <x:f>IF(N108="DRAFT INCLUDE",MOD(COUNTIF($N$6:N108,"DRAFT INCLUDE")-1,'Decision Summary'!$B$12)+1,"")</x:f>
      </x:c>
      <x:c r="R108" s="98" t="str">
        <x:v>PENDING</x:v>
      </x:c>
      <x:c r="S108" s="98" t="str"/>
      <x:c r="T108" s="98" t="str">
        <x:v>Ordinary EOA candidate; inclusion still depends on V1 deprecation, threshold policy and owner approval.</x:v>
      </x:c>
      <x:c r="U108" s="89" t="str">
        <x:v>https://etherscan.io/token/0x445d03f499f1c150615957bb87588fb465fc91cc#balances</x:v>
      </x:c>
      <x:c r="V108" s="89" t="b">
        <x:f>COUNTIF($C$6:$C$502,C108)&gt;1</x:f>
        <x:v>0</x:v>
      </x:c>
    </x:row>
    <x:row r="109">
      <x:c r="A109" s="89" t="n">
        <x:v>104</x:v>
      </x:c>
      <x:c r="B109" s="89" t="str">
        <x:v>v1-mainnet-0104</x:v>
      </x:c>
      <x:c r="C109" s="90" t="str">
        <x:v>0x7a84fc071d1c374109006377b044d9c641eb9950</x:v>
      </x:c>
      <x:c r="D109" s="98" t="str"/>
      <x:c r="E109" s="98" t="str">
        <x:v>EOA_CANDIDATE</x:v>
      </x:c>
      <x:c r="F109" s="91" t="b">
        <x:v>0</x:v>
      </x:c>
      <x:c r="G109" s="89" t="n">
        <x:v>0</x:v>
      </x:c>
      <x:c r="H109" s="90" t="str">
        <x:v>9559800000000</x:v>
      </x:c>
      <x:c r="I109" s="92" t="n">
        <x:v>9.5598</x:v>
      </x:c>
      <x:c r="J109" s="92" t="str">
        <x:v>9559800000000000000</x:v>
      </x:c>
      <x:c r="K109" s="92" t="n">
        <x:v>9.5598</x:v>
      </x:c>
      <x:c r="L109" s="98" t="str">
        <x:v>PENDING_OWNER_ELIGIBILITY_APPROVAL</x:v>
      </x:c>
      <x:c r="M109" s="98" t="b">
        <x:f>IF(E109="EOA_CANDIDATE",I109&gt;='Decision Summary'!$B$11,FALSE)</x:f>
        <x:v>0</x:v>
      </x:c>
      <x:c r="N109" s="98" t="str">
        <x:f>IF(M109,"DRAFT INCLUDE","HOLD / EXCLUDE")</x:f>
        <x:v>HOLD / EXCLUDE</x:v>
      </x:c>
      <x:c r="O109" s="101" t="str">
        <x:f>IF(M109,C109,"")</x:f>
      </x:c>
      <x:c r="P109" s="98" t="str">
        <x:f>IF(N109="DRAFT INCLUDE",ROUNDUP(COUNTIF($N$6:N109,"DRAFT INCLUDE")/'Decision Summary'!$B$12,0),"")</x:f>
      </x:c>
      <x:c r="Q109" s="98" t="str">
        <x:f>IF(N109="DRAFT INCLUDE",MOD(COUNTIF($N$6:N109,"DRAFT INCLUDE")-1,'Decision Summary'!$B$12)+1,"")</x:f>
      </x:c>
      <x:c r="R109" s="98" t="str">
        <x:v>PENDING</x:v>
      </x:c>
      <x:c r="S109" s="98" t="str"/>
      <x:c r="T109" s="98" t="str">
        <x:v>Ordinary EOA candidate; inclusion still depends on V1 deprecation, threshold policy and owner approval.</x:v>
      </x:c>
      <x:c r="U109" s="89" t="str">
        <x:v>https://etherscan.io/token/0x445d03f499f1c150615957bb87588fb465fc91cc#balances</x:v>
      </x:c>
      <x:c r="V109" s="89" t="b">
        <x:f>COUNTIF($C$6:$C$502,C109)&gt;1</x:f>
        <x:v>0</x:v>
      </x:c>
    </x:row>
    <x:row r="110">
      <x:c r="A110" s="89" t="n">
        <x:v>105</x:v>
      </x:c>
      <x:c r="B110" s="89" t="str">
        <x:v>v1-mainnet-0105</x:v>
      </x:c>
      <x:c r="C110" s="90" t="str">
        <x:v>0x0ed455f94514a6a575c3f138e7087c16e6bd9d85</x:v>
      </x:c>
      <x:c r="D110" s="98" t="str"/>
      <x:c r="E110" s="98" t="str">
        <x:v>EOA_CANDIDATE</x:v>
      </x:c>
      <x:c r="F110" s="91" t="b">
        <x:v>0</x:v>
      </x:c>
      <x:c r="G110" s="89" t="n">
        <x:v>0</x:v>
      </x:c>
      <x:c r="H110" s="90" t="str">
        <x:v>9553500000000</x:v>
      </x:c>
      <x:c r="I110" s="92" t="n">
        <x:v>9.5535</x:v>
      </x:c>
      <x:c r="J110" s="92" t="str">
        <x:v>9553500000000000000</x:v>
      </x:c>
      <x:c r="K110" s="92" t="n">
        <x:v>9.5535</x:v>
      </x:c>
      <x:c r="L110" s="98" t="str">
        <x:v>PENDING_OWNER_ELIGIBILITY_APPROVAL</x:v>
      </x:c>
      <x:c r="M110" s="98" t="b">
        <x:f>IF(E110="EOA_CANDIDATE",I110&gt;='Decision Summary'!$B$11,FALSE)</x:f>
        <x:v>0</x:v>
      </x:c>
      <x:c r="N110" s="98" t="str">
        <x:f>IF(M110,"DRAFT INCLUDE","HOLD / EXCLUDE")</x:f>
        <x:v>HOLD / EXCLUDE</x:v>
      </x:c>
      <x:c r="O110" s="101" t="str">
        <x:f>IF(M110,C110,"")</x:f>
      </x:c>
      <x:c r="P110" s="98" t="str">
        <x:f>IF(N110="DRAFT INCLUDE",ROUNDUP(COUNTIF($N$6:N110,"DRAFT INCLUDE")/'Decision Summary'!$B$12,0),"")</x:f>
      </x:c>
      <x:c r="Q110" s="98" t="str">
        <x:f>IF(N110="DRAFT INCLUDE",MOD(COUNTIF($N$6:N110,"DRAFT INCLUDE")-1,'Decision Summary'!$B$12)+1,"")</x:f>
      </x:c>
      <x:c r="R110" s="98" t="str">
        <x:v>PENDING</x:v>
      </x:c>
      <x:c r="S110" s="98" t="str"/>
      <x:c r="T110" s="98" t="str">
        <x:v>Ordinary EOA candidate; inclusion still depends on V1 deprecation, threshold policy and owner approval.</x:v>
      </x:c>
      <x:c r="U110" s="89" t="str">
        <x:v>https://etherscan.io/token/0x445d03f499f1c150615957bb87588fb465fc91cc#balances</x:v>
      </x:c>
      <x:c r="V110" s="89" t="b">
        <x:f>COUNTIF($C$6:$C$502,C110)&gt;1</x:f>
        <x:v>0</x:v>
      </x:c>
    </x:row>
    <x:row r="111">
      <x:c r="A111" s="89" t="n">
        <x:v>106</x:v>
      </x:c>
      <x:c r="B111" s="89" t="str">
        <x:v>v1-mainnet-0106</x:v>
      </x:c>
      <x:c r="C111" s="90" t="str">
        <x:v>0x4e5f00644cb86aeeb35194bbe6d91320e07705fc</x:v>
      </x:c>
      <x:c r="D111" s="98" t="str"/>
      <x:c r="E111" s="98" t="str">
        <x:v>EOA_CANDIDATE</x:v>
      </x:c>
      <x:c r="F111" s="91" t="b">
        <x:v>0</x:v>
      </x:c>
      <x:c r="G111" s="89" t="n">
        <x:v>0</x:v>
      </x:c>
      <x:c r="H111" s="90" t="str">
        <x:v>9488700000000</x:v>
      </x:c>
      <x:c r="I111" s="92" t="n">
        <x:v>9.4887</x:v>
      </x:c>
      <x:c r="J111" s="92" t="str">
        <x:v>9488700000000000000</x:v>
      </x:c>
      <x:c r="K111" s="92" t="n">
        <x:v>9.4887</x:v>
      </x:c>
      <x:c r="L111" s="98" t="str">
        <x:v>PENDING_OWNER_ELIGIBILITY_APPROVAL</x:v>
      </x:c>
      <x:c r="M111" s="98" t="b">
        <x:f>IF(E111="EOA_CANDIDATE",I111&gt;='Decision Summary'!$B$11,FALSE)</x:f>
        <x:v>0</x:v>
      </x:c>
      <x:c r="N111" s="98" t="str">
        <x:f>IF(M111,"DRAFT INCLUDE","HOLD / EXCLUDE")</x:f>
        <x:v>HOLD / EXCLUDE</x:v>
      </x:c>
      <x:c r="O111" s="101" t="str">
        <x:f>IF(M111,C111,"")</x:f>
      </x:c>
      <x:c r="P111" s="98" t="str">
        <x:f>IF(N111="DRAFT INCLUDE",ROUNDUP(COUNTIF($N$6:N111,"DRAFT INCLUDE")/'Decision Summary'!$B$12,0),"")</x:f>
      </x:c>
      <x:c r="Q111" s="98" t="str">
        <x:f>IF(N111="DRAFT INCLUDE",MOD(COUNTIF($N$6:N111,"DRAFT INCLUDE")-1,'Decision Summary'!$B$12)+1,"")</x:f>
      </x:c>
      <x:c r="R111" s="98" t="str">
        <x:v>PENDING</x:v>
      </x:c>
      <x:c r="S111" s="98" t="str"/>
      <x:c r="T111" s="98" t="str">
        <x:v>Ordinary EOA candidate; inclusion still depends on V1 deprecation, threshold policy and owner approval.</x:v>
      </x:c>
      <x:c r="U111" s="89" t="str">
        <x:v>https://etherscan.io/token/0x445d03f499f1c150615957bb87588fb465fc91cc#balances</x:v>
      </x:c>
      <x:c r="V111" s="89" t="b">
        <x:f>COUNTIF($C$6:$C$502,C111)&gt;1</x:f>
        <x:v>0</x:v>
      </x:c>
    </x:row>
    <x:row r="112">
      <x:c r="A112" s="89" t="n">
        <x:v>107</x:v>
      </x:c>
      <x:c r="B112" s="89" t="str">
        <x:v>v1-mainnet-0107</x:v>
      </x:c>
      <x:c r="C112" s="90" t="str">
        <x:v>0xe4dd5526b14116c889cf2e2279f662e8079c3a1b</x:v>
      </x:c>
      <x:c r="D112" s="98" t="str"/>
      <x:c r="E112" s="98" t="str">
        <x:v>EOA_CANDIDATE</x:v>
      </x:c>
      <x:c r="F112" s="91" t="b">
        <x:v>0</x:v>
      </x:c>
      <x:c r="G112" s="89" t="n">
        <x:v>0</x:v>
      </x:c>
      <x:c r="H112" s="90" t="str">
        <x:v>9488100000000</x:v>
      </x:c>
      <x:c r="I112" s="92" t="n">
        <x:v>9.4881</x:v>
      </x:c>
      <x:c r="J112" s="92" t="str">
        <x:v>9488100000000000000</x:v>
      </x:c>
      <x:c r="K112" s="92" t="n">
        <x:v>9.4881</x:v>
      </x:c>
      <x:c r="L112" s="98" t="str">
        <x:v>PENDING_OWNER_ELIGIBILITY_APPROVAL</x:v>
      </x:c>
      <x:c r="M112" s="98" t="b">
        <x:f>IF(E112="EOA_CANDIDATE",I112&gt;='Decision Summary'!$B$11,FALSE)</x:f>
        <x:v>0</x:v>
      </x:c>
      <x:c r="N112" s="98" t="str">
        <x:f>IF(M112,"DRAFT INCLUDE","HOLD / EXCLUDE")</x:f>
        <x:v>HOLD / EXCLUDE</x:v>
      </x:c>
      <x:c r="O112" s="101" t="str">
        <x:f>IF(M112,C112,"")</x:f>
      </x:c>
      <x:c r="P112" s="98" t="str">
        <x:f>IF(N112="DRAFT INCLUDE",ROUNDUP(COUNTIF($N$6:N112,"DRAFT INCLUDE")/'Decision Summary'!$B$12,0),"")</x:f>
      </x:c>
      <x:c r="Q112" s="98" t="str">
        <x:f>IF(N112="DRAFT INCLUDE",MOD(COUNTIF($N$6:N112,"DRAFT INCLUDE")-1,'Decision Summary'!$B$12)+1,"")</x:f>
      </x:c>
      <x:c r="R112" s="98" t="str">
        <x:v>PENDING</x:v>
      </x:c>
      <x:c r="S112" s="98" t="str"/>
      <x:c r="T112" s="98" t="str">
        <x:v>Ordinary EOA candidate; inclusion still depends on V1 deprecation, threshold policy and owner approval.</x:v>
      </x:c>
      <x:c r="U112" s="89" t="str">
        <x:v>https://etherscan.io/token/0x445d03f499f1c150615957bb87588fb465fc91cc#balances</x:v>
      </x:c>
      <x:c r="V112" s="89" t="b">
        <x:f>COUNTIF($C$6:$C$502,C112)&gt;1</x:f>
        <x:v>0</x:v>
      </x:c>
    </x:row>
    <x:row r="113">
      <x:c r="A113" s="89" t="n">
        <x:v>108</x:v>
      </x:c>
      <x:c r="B113" s="89" t="str">
        <x:v>v1-mainnet-0108</x:v>
      </x:c>
      <x:c r="C113" s="90" t="str">
        <x:v>0x0e4972cbc839ce130d28fcc744ad6261b71dd575</x:v>
      </x:c>
      <x:c r="D113" s="98" t="str"/>
      <x:c r="E113" s="98" t="str">
        <x:v>EOA_CANDIDATE</x:v>
      </x:c>
      <x:c r="F113" s="91" t="b">
        <x:v>0</x:v>
      </x:c>
      <x:c r="G113" s="89" t="n">
        <x:v>0</x:v>
      </x:c>
      <x:c r="H113" s="90" t="str">
        <x:v>9485900000000</x:v>
      </x:c>
      <x:c r="I113" s="92" t="n">
        <x:v>9.4859</x:v>
      </x:c>
      <x:c r="J113" s="92" t="str">
        <x:v>9485900000000000000</x:v>
      </x:c>
      <x:c r="K113" s="92" t="n">
        <x:v>9.4859</x:v>
      </x:c>
      <x:c r="L113" s="98" t="str">
        <x:v>PENDING_OWNER_ELIGIBILITY_APPROVAL</x:v>
      </x:c>
      <x:c r="M113" s="98" t="b">
        <x:f>IF(E113="EOA_CANDIDATE",I113&gt;='Decision Summary'!$B$11,FALSE)</x:f>
        <x:v>0</x:v>
      </x:c>
      <x:c r="N113" s="98" t="str">
        <x:f>IF(M113,"DRAFT INCLUDE","HOLD / EXCLUDE")</x:f>
        <x:v>HOLD / EXCLUDE</x:v>
      </x:c>
      <x:c r="O113" s="101" t="str">
        <x:f>IF(M113,C113,"")</x:f>
      </x:c>
      <x:c r="P113" s="98" t="str">
        <x:f>IF(N113="DRAFT INCLUDE",ROUNDUP(COUNTIF($N$6:N113,"DRAFT INCLUDE")/'Decision Summary'!$B$12,0),"")</x:f>
      </x:c>
      <x:c r="Q113" s="98" t="str">
        <x:f>IF(N113="DRAFT INCLUDE",MOD(COUNTIF($N$6:N113,"DRAFT INCLUDE")-1,'Decision Summary'!$B$12)+1,"")</x:f>
      </x:c>
      <x:c r="R113" s="98" t="str">
        <x:v>PENDING</x:v>
      </x:c>
      <x:c r="S113" s="98" t="str"/>
      <x:c r="T113" s="98" t="str">
        <x:v>Ordinary EOA candidate; inclusion still depends on V1 deprecation, threshold policy and owner approval.</x:v>
      </x:c>
      <x:c r="U113" s="89" t="str">
        <x:v>https://etherscan.io/token/0x445d03f499f1c150615957bb87588fb465fc91cc#balances</x:v>
      </x:c>
      <x:c r="V113" s="89" t="b">
        <x:f>COUNTIF($C$6:$C$502,C113)&gt;1</x:f>
        <x:v>0</x:v>
      </x:c>
    </x:row>
    <x:row r="114">
      <x:c r="A114" s="89" t="n">
        <x:v>109</x:v>
      </x:c>
      <x:c r="B114" s="89" t="str">
        <x:v>v1-mainnet-0109</x:v>
      </x:c>
      <x:c r="C114" s="90" t="str">
        <x:v>0x78a56418af7283588618ee7fbc2fe8e94643f245</x:v>
      </x:c>
      <x:c r="D114" s="98" t="str"/>
      <x:c r="E114" s="98" t="str">
        <x:v>EOA_CANDIDATE</x:v>
      </x:c>
      <x:c r="F114" s="91" t="b">
        <x:v>0</x:v>
      </x:c>
      <x:c r="G114" s="89" t="n">
        <x:v>0</x:v>
      </x:c>
      <x:c r="H114" s="90" t="str">
        <x:v>9483100000000</x:v>
      </x:c>
      <x:c r="I114" s="92" t="n">
        <x:v>9.4831</x:v>
      </x:c>
      <x:c r="J114" s="92" t="str">
        <x:v>9483100000000000000</x:v>
      </x:c>
      <x:c r="K114" s="92" t="n">
        <x:v>9.4831</x:v>
      </x:c>
      <x:c r="L114" s="98" t="str">
        <x:v>PENDING_OWNER_ELIGIBILITY_APPROVAL</x:v>
      </x:c>
      <x:c r="M114" s="98" t="b">
        <x:f>IF(E114="EOA_CANDIDATE",I114&gt;='Decision Summary'!$B$11,FALSE)</x:f>
        <x:v>0</x:v>
      </x:c>
      <x:c r="N114" s="98" t="str">
        <x:f>IF(M114,"DRAFT INCLUDE","HOLD / EXCLUDE")</x:f>
        <x:v>HOLD / EXCLUDE</x:v>
      </x:c>
      <x:c r="O114" s="101" t="str">
        <x:f>IF(M114,C114,"")</x:f>
      </x:c>
      <x:c r="P114" s="98" t="str">
        <x:f>IF(N114="DRAFT INCLUDE",ROUNDUP(COUNTIF($N$6:N114,"DRAFT INCLUDE")/'Decision Summary'!$B$12,0),"")</x:f>
      </x:c>
      <x:c r="Q114" s="98" t="str">
        <x:f>IF(N114="DRAFT INCLUDE",MOD(COUNTIF($N$6:N114,"DRAFT INCLUDE")-1,'Decision Summary'!$B$12)+1,"")</x:f>
      </x:c>
      <x:c r="R114" s="98" t="str">
        <x:v>PENDING</x:v>
      </x:c>
      <x:c r="S114" s="98" t="str"/>
      <x:c r="T114" s="98" t="str">
        <x:v>Ordinary EOA candidate; inclusion still depends on V1 deprecation, threshold policy and owner approval.</x:v>
      </x:c>
      <x:c r="U114" s="89" t="str">
        <x:v>https://etherscan.io/token/0x445d03f499f1c150615957bb87588fb465fc91cc#balances</x:v>
      </x:c>
      <x:c r="V114" s="89" t="b">
        <x:f>COUNTIF($C$6:$C$502,C114)&gt;1</x:f>
        <x:v>0</x:v>
      </x:c>
    </x:row>
    <x:row r="115">
      <x:c r="A115" s="89" t="n">
        <x:v>110</x:v>
      </x:c>
      <x:c r="B115" s="89" t="str">
        <x:v>v1-mainnet-0110</x:v>
      </x:c>
      <x:c r="C115" s="90" t="str">
        <x:v>0xd44886a2498ce8e28ad1baeeaa6574904bc0d185</x:v>
      </x:c>
      <x:c r="D115" s="98" t="str"/>
      <x:c r="E115" s="98" t="str">
        <x:v>EOA_CANDIDATE</x:v>
      </x:c>
      <x:c r="F115" s="91" t="b">
        <x:v>0</x:v>
      </x:c>
      <x:c r="G115" s="89" t="n">
        <x:v>0</x:v>
      </x:c>
      <x:c r="H115" s="90" t="str">
        <x:v>9466000000000</x:v>
      </x:c>
      <x:c r="I115" s="92" t="n">
        <x:v>9.466</x:v>
      </x:c>
      <x:c r="J115" s="92" t="str">
        <x:v>9466000000000000000</x:v>
      </x:c>
      <x:c r="K115" s="92" t="n">
        <x:v>9.466</x:v>
      </x:c>
      <x:c r="L115" s="98" t="str">
        <x:v>PENDING_OWNER_ELIGIBILITY_APPROVAL</x:v>
      </x:c>
      <x:c r="M115" s="98" t="b">
        <x:f>IF(E115="EOA_CANDIDATE",I115&gt;='Decision Summary'!$B$11,FALSE)</x:f>
        <x:v>0</x:v>
      </x:c>
      <x:c r="N115" s="98" t="str">
        <x:f>IF(M115,"DRAFT INCLUDE","HOLD / EXCLUDE")</x:f>
        <x:v>HOLD / EXCLUDE</x:v>
      </x:c>
      <x:c r="O115" s="101" t="str">
        <x:f>IF(M115,C115,"")</x:f>
      </x:c>
      <x:c r="P115" s="98" t="str">
        <x:f>IF(N115="DRAFT INCLUDE",ROUNDUP(COUNTIF($N$6:N115,"DRAFT INCLUDE")/'Decision Summary'!$B$12,0),"")</x:f>
      </x:c>
      <x:c r="Q115" s="98" t="str">
        <x:f>IF(N115="DRAFT INCLUDE",MOD(COUNTIF($N$6:N115,"DRAFT INCLUDE")-1,'Decision Summary'!$B$12)+1,"")</x:f>
      </x:c>
      <x:c r="R115" s="98" t="str">
        <x:v>PENDING</x:v>
      </x:c>
      <x:c r="S115" s="98" t="str"/>
      <x:c r="T115" s="98" t="str">
        <x:v>Ordinary EOA candidate; inclusion still depends on V1 deprecation, threshold policy and owner approval.</x:v>
      </x:c>
      <x:c r="U115" s="89" t="str">
        <x:v>https://etherscan.io/token/0x445d03f499f1c150615957bb87588fb465fc91cc#balances</x:v>
      </x:c>
      <x:c r="V115" s="89" t="b">
        <x:f>COUNTIF($C$6:$C$502,C115)&gt;1</x:f>
        <x:v>0</x:v>
      </x:c>
    </x:row>
    <x:row r="116">
      <x:c r="A116" s="89" t="n">
        <x:v>111</x:v>
      </x:c>
      <x:c r="B116" s="89" t="str">
        <x:v>v1-mainnet-0111</x:v>
      </x:c>
      <x:c r="C116" s="90" t="str">
        <x:v>0x0d150a3dd58e316270ebbcea3f3dc69cf5883e08</x:v>
      </x:c>
      <x:c r="D116" s="98" t="str"/>
      <x:c r="E116" s="98" t="str">
        <x:v>EOA_CANDIDATE</x:v>
      </x:c>
      <x:c r="F116" s="91" t="b">
        <x:v>0</x:v>
      </x:c>
      <x:c r="G116" s="89" t="n">
        <x:v>0</x:v>
      </x:c>
      <x:c r="H116" s="90" t="str">
        <x:v>9434700000000</x:v>
      </x:c>
      <x:c r="I116" s="92" t="n">
        <x:v>9.4347</x:v>
      </x:c>
      <x:c r="J116" s="92" t="str">
        <x:v>9434700000000000000</x:v>
      </x:c>
      <x:c r="K116" s="92" t="n">
        <x:v>9.4347</x:v>
      </x:c>
      <x:c r="L116" s="98" t="str">
        <x:v>PENDING_OWNER_ELIGIBILITY_APPROVAL</x:v>
      </x:c>
      <x:c r="M116" s="98" t="b">
        <x:f>IF(E116="EOA_CANDIDATE",I116&gt;='Decision Summary'!$B$11,FALSE)</x:f>
        <x:v>0</x:v>
      </x:c>
      <x:c r="N116" s="98" t="str">
        <x:f>IF(M116,"DRAFT INCLUDE","HOLD / EXCLUDE")</x:f>
        <x:v>HOLD / EXCLUDE</x:v>
      </x:c>
      <x:c r="O116" s="101" t="str">
        <x:f>IF(M116,C116,"")</x:f>
      </x:c>
      <x:c r="P116" s="98" t="str">
        <x:f>IF(N116="DRAFT INCLUDE",ROUNDUP(COUNTIF($N$6:N116,"DRAFT INCLUDE")/'Decision Summary'!$B$12,0),"")</x:f>
      </x:c>
      <x:c r="Q116" s="98" t="str">
        <x:f>IF(N116="DRAFT INCLUDE",MOD(COUNTIF($N$6:N116,"DRAFT INCLUDE")-1,'Decision Summary'!$B$12)+1,"")</x:f>
      </x:c>
      <x:c r="R116" s="98" t="str">
        <x:v>PENDING</x:v>
      </x:c>
      <x:c r="S116" s="98" t="str"/>
      <x:c r="T116" s="98" t="str">
        <x:v>Ordinary EOA candidate; inclusion still depends on V1 deprecation, threshold policy and owner approval.</x:v>
      </x:c>
      <x:c r="U116" s="89" t="str">
        <x:v>https://etherscan.io/token/0x445d03f499f1c150615957bb87588fb465fc91cc#balances</x:v>
      </x:c>
      <x:c r="V116" s="89" t="b">
        <x:f>COUNTIF($C$6:$C$502,C116)&gt;1</x:f>
        <x:v>0</x:v>
      </x:c>
    </x:row>
    <x:row r="117">
      <x:c r="A117" s="89" t="n">
        <x:v>112</x:v>
      </x:c>
      <x:c r="B117" s="89" t="str">
        <x:v>v1-mainnet-0112</x:v>
      </x:c>
      <x:c r="C117" s="90" t="str">
        <x:v>0xa36674a0ba3c0f3826c4c48c0c2550fe8fc16fb8</x:v>
      </x:c>
      <x:c r="D117" s="98" t="str"/>
      <x:c r="E117" s="98" t="str">
        <x:v>EOA_CANDIDATE</x:v>
      </x:c>
      <x:c r="F117" s="91" t="b">
        <x:v>0</x:v>
      </x:c>
      <x:c r="G117" s="89" t="n">
        <x:v>0</x:v>
      </x:c>
      <x:c r="H117" s="90" t="str">
        <x:v>9424900000000</x:v>
      </x:c>
      <x:c r="I117" s="92" t="n">
        <x:v>9.4249</x:v>
      </x:c>
      <x:c r="J117" s="92" t="str">
        <x:v>9424900000000000000</x:v>
      </x:c>
      <x:c r="K117" s="92" t="n">
        <x:v>9.4249</x:v>
      </x:c>
      <x:c r="L117" s="98" t="str">
        <x:v>PENDING_OWNER_ELIGIBILITY_APPROVAL</x:v>
      </x:c>
      <x:c r="M117" s="98" t="b">
        <x:f>IF(E117="EOA_CANDIDATE",I117&gt;='Decision Summary'!$B$11,FALSE)</x:f>
        <x:v>0</x:v>
      </x:c>
      <x:c r="N117" s="98" t="str">
        <x:f>IF(M117,"DRAFT INCLUDE","HOLD / EXCLUDE")</x:f>
        <x:v>HOLD / EXCLUDE</x:v>
      </x:c>
      <x:c r="O117" s="101" t="str">
        <x:f>IF(M117,C117,"")</x:f>
      </x:c>
      <x:c r="P117" s="98" t="str">
        <x:f>IF(N117="DRAFT INCLUDE",ROUNDUP(COUNTIF($N$6:N117,"DRAFT INCLUDE")/'Decision Summary'!$B$12,0),"")</x:f>
      </x:c>
      <x:c r="Q117" s="98" t="str">
        <x:f>IF(N117="DRAFT INCLUDE",MOD(COUNTIF($N$6:N117,"DRAFT INCLUDE")-1,'Decision Summary'!$B$12)+1,"")</x:f>
      </x:c>
      <x:c r="R117" s="98" t="str">
        <x:v>PENDING</x:v>
      </x:c>
      <x:c r="S117" s="98" t="str"/>
      <x:c r="T117" s="98" t="str">
        <x:v>Ordinary EOA candidate; inclusion still depends on V1 deprecation, threshold policy and owner approval.</x:v>
      </x:c>
      <x:c r="U117" s="89" t="str">
        <x:v>https://etherscan.io/token/0x445d03f499f1c150615957bb87588fb465fc91cc#balances</x:v>
      </x:c>
      <x:c r="V117" s="89" t="b">
        <x:f>COUNTIF($C$6:$C$502,C117)&gt;1</x:f>
        <x:v>0</x:v>
      </x:c>
    </x:row>
    <x:row r="118">
      <x:c r="A118" s="89" t="n">
        <x:v>113</x:v>
      </x:c>
      <x:c r="B118" s="89" t="str">
        <x:v>v1-mainnet-0113</x:v>
      </x:c>
      <x:c r="C118" s="90" t="str">
        <x:v>0x344722ab1acc7ce89e310716de465a636899f38d</x:v>
      </x:c>
      <x:c r="D118" s="98" t="str"/>
      <x:c r="E118" s="98" t="str">
        <x:v>EOA_CANDIDATE</x:v>
      </x:c>
      <x:c r="F118" s="91" t="b">
        <x:v>0</x:v>
      </x:c>
      <x:c r="G118" s="89" t="n">
        <x:v>0</x:v>
      </x:c>
      <x:c r="H118" s="90" t="str">
        <x:v>9405800000000</x:v>
      </x:c>
      <x:c r="I118" s="92" t="n">
        <x:v>9.4058</x:v>
      </x:c>
      <x:c r="J118" s="92" t="str">
        <x:v>9405800000000000000</x:v>
      </x:c>
      <x:c r="K118" s="92" t="n">
        <x:v>9.4058</x:v>
      </x:c>
      <x:c r="L118" s="98" t="str">
        <x:v>PENDING_OWNER_ELIGIBILITY_APPROVAL</x:v>
      </x:c>
      <x:c r="M118" s="98" t="b">
        <x:f>IF(E118="EOA_CANDIDATE",I118&gt;='Decision Summary'!$B$11,FALSE)</x:f>
        <x:v>0</x:v>
      </x:c>
      <x:c r="N118" s="98" t="str">
        <x:f>IF(M118,"DRAFT INCLUDE","HOLD / EXCLUDE")</x:f>
        <x:v>HOLD / EXCLUDE</x:v>
      </x:c>
      <x:c r="O118" s="101" t="str">
        <x:f>IF(M118,C118,"")</x:f>
      </x:c>
      <x:c r="P118" s="98" t="str">
        <x:f>IF(N118="DRAFT INCLUDE",ROUNDUP(COUNTIF($N$6:N118,"DRAFT INCLUDE")/'Decision Summary'!$B$12,0),"")</x:f>
      </x:c>
      <x:c r="Q118" s="98" t="str">
        <x:f>IF(N118="DRAFT INCLUDE",MOD(COUNTIF($N$6:N118,"DRAFT INCLUDE")-1,'Decision Summary'!$B$12)+1,"")</x:f>
      </x:c>
      <x:c r="R118" s="98" t="str">
        <x:v>PENDING</x:v>
      </x:c>
      <x:c r="S118" s="98" t="str"/>
      <x:c r="T118" s="98" t="str">
        <x:v>Ordinary EOA candidate; inclusion still depends on V1 deprecation, threshold policy and owner approval.</x:v>
      </x:c>
      <x:c r="U118" s="89" t="str">
        <x:v>https://etherscan.io/token/0x445d03f499f1c150615957bb87588fb465fc91cc#balances</x:v>
      </x:c>
      <x:c r="V118" s="89" t="b">
        <x:f>COUNTIF($C$6:$C$502,C118)&gt;1</x:f>
        <x:v>0</x:v>
      </x:c>
    </x:row>
    <x:row r="119">
      <x:c r="A119" s="89" t="n">
        <x:v>114</x:v>
      </x:c>
      <x:c r="B119" s="89" t="str">
        <x:v>v1-mainnet-0114</x:v>
      </x:c>
      <x:c r="C119" s="90" t="str">
        <x:v>0x0c992dc61fa747fdcbe5aac7fe1d4d1efbd5c86f</x:v>
      </x:c>
      <x:c r="D119" s="98" t="str"/>
      <x:c r="E119" s="98" t="str">
        <x:v>EOA_CANDIDATE</x:v>
      </x:c>
      <x:c r="F119" s="91" t="b">
        <x:v>0</x:v>
      </x:c>
      <x:c r="G119" s="89" t="n">
        <x:v>0</x:v>
      </x:c>
      <x:c r="H119" s="90" t="str">
        <x:v>9396500000000</x:v>
      </x:c>
      <x:c r="I119" s="92" t="n">
        <x:v>9.3965</x:v>
      </x:c>
      <x:c r="J119" s="92" t="str">
        <x:v>9396500000000000000</x:v>
      </x:c>
      <x:c r="K119" s="92" t="n">
        <x:v>9.3965</x:v>
      </x:c>
      <x:c r="L119" s="98" t="str">
        <x:v>PENDING_OWNER_ELIGIBILITY_APPROVAL</x:v>
      </x:c>
      <x:c r="M119" s="98" t="b">
        <x:f>IF(E119="EOA_CANDIDATE",I119&gt;='Decision Summary'!$B$11,FALSE)</x:f>
        <x:v>0</x:v>
      </x:c>
      <x:c r="N119" s="98" t="str">
        <x:f>IF(M119,"DRAFT INCLUDE","HOLD / EXCLUDE")</x:f>
        <x:v>HOLD / EXCLUDE</x:v>
      </x:c>
      <x:c r="O119" s="101" t="str">
        <x:f>IF(M119,C119,"")</x:f>
      </x:c>
      <x:c r="P119" s="98" t="str">
        <x:f>IF(N119="DRAFT INCLUDE",ROUNDUP(COUNTIF($N$6:N119,"DRAFT INCLUDE")/'Decision Summary'!$B$12,0),"")</x:f>
      </x:c>
      <x:c r="Q119" s="98" t="str">
        <x:f>IF(N119="DRAFT INCLUDE",MOD(COUNTIF($N$6:N119,"DRAFT INCLUDE")-1,'Decision Summary'!$B$12)+1,"")</x:f>
      </x:c>
      <x:c r="R119" s="98" t="str">
        <x:v>PENDING</x:v>
      </x:c>
      <x:c r="S119" s="98" t="str"/>
      <x:c r="T119" s="98" t="str">
        <x:v>Ordinary EOA candidate; inclusion still depends on V1 deprecation, threshold policy and owner approval.</x:v>
      </x:c>
      <x:c r="U119" s="89" t="str">
        <x:v>https://etherscan.io/token/0x445d03f499f1c150615957bb87588fb465fc91cc#balances</x:v>
      </x:c>
      <x:c r="V119" s="89" t="b">
        <x:f>COUNTIF($C$6:$C$502,C119)&gt;1</x:f>
        <x:v>0</x:v>
      </x:c>
    </x:row>
    <x:row r="120">
      <x:c r="A120" s="89" t="n">
        <x:v>115</x:v>
      </x:c>
      <x:c r="B120" s="89" t="str">
        <x:v>v1-mainnet-0115</x:v>
      </x:c>
      <x:c r="C120" s="90" t="str">
        <x:v>0xc9795bf13962275aaee6f20d2717a659305317a1</x:v>
      </x:c>
      <x:c r="D120" s="98" t="str"/>
      <x:c r="E120" s="98" t="str">
        <x:v>EOA_CANDIDATE</x:v>
      </x:c>
      <x:c r="F120" s="91" t="b">
        <x:v>0</x:v>
      </x:c>
      <x:c r="G120" s="89" t="n">
        <x:v>0</x:v>
      </x:c>
      <x:c r="H120" s="90" t="str">
        <x:v>9379400000000</x:v>
      </x:c>
      <x:c r="I120" s="92" t="n">
        <x:v>9.3794</x:v>
      </x:c>
      <x:c r="J120" s="92" t="str">
        <x:v>9379400000000000000</x:v>
      </x:c>
      <x:c r="K120" s="92" t="n">
        <x:v>9.3794</x:v>
      </x:c>
      <x:c r="L120" s="98" t="str">
        <x:v>PENDING_OWNER_ELIGIBILITY_APPROVAL</x:v>
      </x:c>
      <x:c r="M120" s="98" t="b">
        <x:f>IF(E120="EOA_CANDIDATE",I120&gt;='Decision Summary'!$B$11,FALSE)</x:f>
        <x:v>0</x:v>
      </x:c>
      <x:c r="N120" s="98" t="str">
        <x:f>IF(M120,"DRAFT INCLUDE","HOLD / EXCLUDE")</x:f>
        <x:v>HOLD / EXCLUDE</x:v>
      </x:c>
      <x:c r="O120" s="101" t="str">
        <x:f>IF(M120,C120,"")</x:f>
      </x:c>
      <x:c r="P120" s="98" t="str">
        <x:f>IF(N120="DRAFT INCLUDE",ROUNDUP(COUNTIF($N$6:N120,"DRAFT INCLUDE")/'Decision Summary'!$B$12,0),"")</x:f>
      </x:c>
      <x:c r="Q120" s="98" t="str">
        <x:f>IF(N120="DRAFT INCLUDE",MOD(COUNTIF($N$6:N120,"DRAFT INCLUDE")-1,'Decision Summary'!$B$12)+1,"")</x:f>
      </x:c>
      <x:c r="R120" s="98" t="str">
        <x:v>PENDING</x:v>
      </x:c>
      <x:c r="S120" s="98" t="str"/>
      <x:c r="T120" s="98" t="str">
        <x:v>Ordinary EOA candidate; inclusion still depends on V1 deprecation, threshold policy and owner approval.</x:v>
      </x:c>
      <x:c r="U120" s="89" t="str">
        <x:v>https://etherscan.io/token/0x445d03f499f1c150615957bb87588fb465fc91cc#balances</x:v>
      </x:c>
      <x:c r="V120" s="89" t="b">
        <x:f>COUNTIF($C$6:$C$502,C120)&gt;1</x:f>
        <x:v>0</x:v>
      </x:c>
    </x:row>
    <x:row r="121">
      <x:c r="A121" s="89" t="n">
        <x:v>116</x:v>
      </x:c>
      <x:c r="B121" s="89" t="str">
        <x:v>v1-mainnet-0116</x:v>
      </x:c>
      <x:c r="C121" s="90" t="str">
        <x:v>0x5ee73ec76a59b7e4ae204f7c6d2a00c717eb554c</x:v>
      </x:c>
      <x:c r="D121" s="98" t="str"/>
      <x:c r="E121" s="98" t="str">
        <x:v>EOA_CANDIDATE</x:v>
      </x:c>
      <x:c r="F121" s="91" t="b">
        <x:v>0</x:v>
      </x:c>
      <x:c r="G121" s="89" t="n">
        <x:v>0</x:v>
      </x:c>
      <x:c r="H121" s="90" t="str">
        <x:v>9362000000000</x:v>
      </x:c>
      <x:c r="I121" s="92" t="n">
        <x:v>9.362</x:v>
      </x:c>
      <x:c r="J121" s="92" t="str">
        <x:v>9362000000000000000</x:v>
      </x:c>
      <x:c r="K121" s="92" t="n">
        <x:v>9.362</x:v>
      </x:c>
      <x:c r="L121" s="98" t="str">
        <x:v>PENDING_OWNER_ELIGIBILITY_APPROVAL</x:v>
      </x:c>
      <x:c r="M121" s="98" t="b">
        <x:f>IF(E121="EOA_CANDIDATE",I121&gt;='Decision Summary'!$B$11,FALSE)</x:f>
        <x:v>0</x:v>
      </x:c>
      <x:c r="N121" s="98" t="str">
        <x:f>IF(M121,"DRAFT INCLUDE","HOLD / EXCLUDE")</x:f>
        <x:v>HOLD / EXCLUDE</x:v>
      </x:c>
      <x:c r="O121" s="101" t="str">
        <x:f>IF(M121,C121,"")</x:f>
      </x:c>
      <x:c r="P121" s="98" t="str">
        <x:f>IF(N121="DRAFT INCLUDE",ROUNDUP(COUNTIF($N$6:N121,"DRAFT INCLUDE")/'Decision Summary'!$B$12,0),"")</x:f>
      </x:c>
      <x:c r="Q121" s="98" t="str">
        <x:f>IF(N121="DRAFT INCLUDE",MOD(COUNTIF($N$6:N121,"DRAFT INCLUDE")-1,'Decision Summary'!$B$12)+1,"")</x:f>
      </x:c>
      <x:c r="R121" s="98" t="str">
        <x:v>PENDING</x:v>
      </x:c>
      <x:c r="S121" s="98" t="str"/>
      <x:c r="T121" s="98" t="str">
        <x:v>Ordinary EOA candidate; inclusion still depends on V1 deprecation, threshold policy and owner approval.</x:v>
      </x:c>
      <x:c r="U121" s="89" t="str">
        <x:v>https://etherscan.io/token/0x445d03f499f1c150615957bb87588fb465fc91cc#balances</x:v>
      </x:c>
      <x:c r="V121" s="89" t="b">
        <x:f>COUNTIF($C$6:$C$502,C121)&gt;1</x:f>
        <x:v>0</x:v>
      </x:c>
    </x:row>
    <x:row r="122">
      <x:c r="A122" s="89" t="n">
        <x:v>117</x:v>
      </x:c>
      <x:c r="B122" s="89" t="str">
        <x:v>v1-mainnet-0117</x:v>
      </x:c>
      <x:c r="C122" s="90" t="str">
        <x:v>0xbe8a46617dd74c2cb454b43d60be3602bc082bf4</x:v>
      </x:c>
      <x:c r="D122" s="98" t="str"/>
      <x:c r="E122" s="98" t="str">
        <x:v>EOA_CANDIDATE</x:v>
      </x:c>
      <x:c r="F122" s="91" t="b">
        <x:v>0</x:v>
      </x:c>
      <x:c r="G122" s="89" t="n">
        <x:v>0</x:v>
      </x:c>
      <x:c r="H122" s="90" t="str">
        <x:v>9336700000000</x:v>
      </x:c>
      <x:c r="I122" s="92" t="n">
        <x:v>9.3367</x:v>
      </x:c>
      <x:c r="J122" s="92" t="str">
        <x:v>9336700000000000000</x:v>
      </x:c>
      <x:c r="K122" s="92" t="n">
        <x:v>9.3367</x:v>
      </x:c>
      <x:c r="L122" s="98" t="str">
        <x:v>PENDING_OWNER_ELIGIBILITY_APPROVAL</x:v>
      </x:c>
      <x:c r="M122" s="98" t="b">
        <x:f>IF(E122="EOA_CANDIDATE",I122&gt;='Decision Summary'!$B$11,FALSE)</x:f>
        <x:v>0</x:v>
      </x:c>
      <x:c r="N122" s="98" t="str">
        <x:f>IF(M122,"DRAFT INCLUDE","HOLD / EXCLUDE")</x:f>
        <x:v>HOLD / EXCLUDE</x:v>
      </x:c>
      <x:c r="O122" s="101" t="str">
        <x:f>IF(M122,C122,"")</x:f>
      </x:c>
      <x:c r="P122" s="98" t="str">
        <x:f>IF(N122="DRAFT INCLUDE",ROUNDUP(COUNTIF($N$6:N122,"DRAFT INCLUDE")/'Decision Summary'!$B$12,0),"")</x:f>
      </x:c>
      <x:c r="Q122" s="98" t="str">
        <x:f>IF(N122="DRAFT INCLUDE",MOD(COUNTIF($N$6:N122,"DRAFT INCLUDE")-1,'Decision Summary'!$B$12)+1,"")</x:f>
      </x:c>
      <x:c r="R122" s="98" t="str">
        <x:v>PENDING</x:v>
      </x:c>
      <x:c r="S122" s="98" t="str"/>
      <x:c r="T122" s="98" t="str">
        <x:v>Ordinary EOA candidate; inclusion still depends on V1 deprecation, threshold policy and owner approval.</x:v>
      </x:c>
      <x:c r="U122" s="89" t="str">
        <x:v>https://etherscan.io/token/0x445d03f499f1c150615957bb87588fb465fc91cc#balances</x:v>
      </x:c>
      <x:c r="V122" s="89" t="b">
        <x:f>COUNTIF($C$6:$C$502,C122)&gt;1</x:f>
        <x:v>0</x:v>
      </x:c>
    </x:row>
    <x:row r="123">
      <x:c r="A123" s="89" t="n">
        <x:v>118</x:v>
      </x:c>
      <x:c r="B123" s="89" t="str">
        <x:v>v1-mainnet-0118</x:v>
      </x:c>
      <x:c r="C123" s="90" t="str">
        <x:v>0x9d29bb0ba5e5a3e3f63c3332681e879ae82ccd5d</x:v>
      </x:c>
      <x:c r="D123" s="98" t="str"/>
      <x:c r="E123" s="98" t="str">
        <x:v>EOA_CANDIDATE</x:v>
      </x:c>
      <x:c r="F123" s="91" t="b">
        <x:v>0</x:v>
      </x:c>
      <x:c r="G123" s="89" t="n">
        <x:v>0</x:v>
      </x:c>
      <x:c r="H123" s="90" t="str">
        <x:v>9331300000000</x:v>
      </x:c>
      <x:c r="I123" s="92" t="n">
        <x:v>9.3313</x:v>
      </x:c>
      <x:c r="J123" s="92" t="str">
        <x:v>9331300000000000000</x:v>
      </x:c>
      <x:c r="K123" s="92" t="n">
        <x:v>9.3313</x:v>
      </x:c>
      <x:c r="L123" s="98" t="str">
        <x:v>PENDING_OWNER_ELIGIBILITY_APPROVAL</x:v>
      </x:c>
      <x:c r="M123" s="98" t="b">
        <x:f>IF(E123="EOA_CANDIDATE",I123&gt;='Decision Summary'!$B$11,FALSE)</x:f>
        <x:v>0</x:v>
      </x:c>
      <x:c r="N123" s="98" t="str">
        <x:f>IF(M123,"DRAFT INCLUDE","HOLD / EXCLUDE")</x:f>
        <x:v>HOLD / EXCLUDE</x:v>
      </x:c>
      <x:c r="O123" s="101" t="str">
        <x:f>IF(M123,C123,"")</x:f>
      </x:c>
      <x:c r="P123" s="98" t="str">
        <x:f>IF(N123="DRAFT INCLUDE",ROUNDUP(COUNTIF($N$6:N123,"DRAFT INCLUDE")/'Decision Summary'!$B$12,0),"")</x:f>
      </x:c>
      <x:c r="Q123" s="98" t="str">
        <x:f>IF(N123="DRAFT INCLUDE",MOD(COUNTIF($N$6:N123,"DRAFT INCLUDE")-1,'Decision Summary'!$B$12)+1,"")</x:f>
      </x:c>
      <x:c r="R123" s="98" t="str">
        <x:v>PENDING</x:v>
      </x:c>
      <x:c r="S123" s="98" t="str"/>
      <x:c r="T123" s="98" t="str">
        <x:v>Ordinary EOA candidate; inclusion still depends on V1 deprecation, threshold policy and owner approval.</x:v>
      </x:c>
      <x:c r="U123" s="89" t="str">
        <x:v>https://etherscan.io/token/0x445d03f499f1c150615957bb87588fb465fc91cc#balances</x:v>
      </x:c>
      <x:c r="V123" s="89" t="b">
        <x:f>COUNTIF($C$6:$C$502,C123)&gt;1</x:f>
        <x:v>0</x:v>
      </x:c>
    </x:row>
    <x:row r="124">
      <x:c r="A124" s="89" t="n">
        <x:v>119</x:v>
      </x:c>
      <x:c r="B124" s="89" t="str">
        <x:v>v1-mainnet-0119</x:v>
      </x:c>
      <x:c r="C124" s="90" t="str">
        <x:v>0x5642e33f458a18a45780ea8a7b20e719de61ca67</x:v>
      </x:c>
      <x:c r="D124" s="98" t="str"/>
      <x:c r="E124" s="98" t="str">
        <x:v>EOA_CANDIDATE</x:v>
      </x:c>
      <x:c r="F124" s="91" t="b">
        <x:v>0</x:v>
      </x:c>
      <x:c r="G124" s="89" t="n">
        <x:v>0</x:v>
      </x:c>
      <x:c r="H124" s="90" t="str">
        <x:v>9312500000000</x:v>
      </x:c>
      <x:c r="I124" s="92" t="n">
        <x:v>9.3125</x:v>
      </x:c>
      <x:c r="J124" s="92" t="str">
        <x:v>9312500000000000000</x:v>
      </x:c>
      <x:c r="K124" s="92" t="n">
        <x:v>9.3125</x:v>
      </x:c>
      <x:c r="L124" s="98" t="str">
        <x:v>PENDING_OWNER_ELIGIBILITY_APPROVAL</x:v>
      </x:c>
      <x:c r="M124" s="98" t="b">
        <x:f>IF(E124="EOA_CANDIDATE",I124&gt;='Decision Summary'!$B$11,FALSE)</x:f>
        <x:v>0</x:v>
      </x:c>
      <x:c r="N124" s="98" t="str">
        <x:f>IF(M124,"DRAFT INCLUDE","HOLD / EXCLUDE")</x:f>
        <x:v>HOLD / EXCLUDE</x:v>
      </x:c>
      <x:c r="O124" s="101" t="str">
        <x:f>IF(M124,C124,"")</x:f>
      </x:c>
      <x:c r="P124" s="98" t="str">
        <x:f>IF(N124="DRAFT INCLUDE",ROUNDUP(COUNTIF($N$6:N124,"DRAFT INCLUDE")/'Decision Summary'!$B$12,0),"")</x:f>
      </x:c>
      <x:c r="Q124" s="98" t="str">
        <x:f>IF(N124="DRAFT INCLUDE",MOD(COUNTIF($N$6:N124,"DRAFT INCLUDE")-1,'Decision Summary'!$B$12)+1,"")</x:f>
      </x:c>
      <x:c r="R124" s="98" t="str">
        <x:v>PENDING</x:v>
      </x:c>
      <x:c r="S124" s="98" t="str"/>
      <x:c r="T124" s="98" t="str">
        <x:v>Ordinary EOA candidate; inclusion still depends on V1 deprecation, threshold policy and owner approval.</x:v>
      </x:c>
      <x:c r="U124" s="89" t="str">
        <x:v>https://etherscan.io/token/0x445d03f499f1c150615957bb87588fb465fc91cc#balances</x:v>
      </x:c>
      <x:c r="V124" s="89" t="b">
        <x:f>COUNTIF($C$6:$C$502,C124)&gt;1</x:f>
        <x:v>0</x:v>
      </x:c>
    </x:row>
    <x:row r="125">
      <x:c r="A125" s="89" t="n">
        <x:v>120</x:v>
      </x:c>
      <x:c r="B125" s="89" t="str">
        <x:v>v1-mainnet-0120</x:v>
      </x:c>
      <x:c r="C125" s="90" t="str">
        <x:v>0xf2b944df0cdf0b03d5fa957205fd6d56f2bd8ade</x:v>
      </x:c>
      <x:c r="D125" s="98" t="str"/>
      <x:c r="E125" s="98" t="str">
        <x:v>EOA_CANDIDATE</x:v>
      </x:c>
      <x:c r="F125" s="91" t="b">
        <x:v>0</x:v>
      </x:c>
      <x:c r="G125" s="89" t="n">
        <x:v>0</x:v>
      </x:c>
      <x:c r="H125" s="90" t="str">
        <x:v>9309800000000</x:v>
      </x:c>
      <x:c r="I125" s="92" t="n">
        <x:v>9.3098</x:v>
      </x:c>
      <x:c r="J125" s="92" t="str">
        <x:v>9309800000000000000</x:v>
      </x:c>
      <x:c r="K125" s="92" t="n">
        <x:v>9.3098</x:v>
      </x:c>
      <x:c r="L125" s="98" t="str">
        <x:v>PENDING_OWNER_ELIGIBILITY_APPROVAL</x:v>
      </x:c>
      <x:c r="M125" s="98" t="b">
        <x:f>IF(E125="EOA_CANDIDATE",I125&gt;='Decision Summary'!$B$11,FALSE)</x:f>
        <x:v>0</x:v>
      </x:c>
      <x:c r="N125" s="98" t="str">
        <x:f>IF(M125,"DRAFT INCLUDE","HOLD / EXCLUDE")</x:f>
        <x:v>HOLD / EXCLUDE</x:v>
      </x:c>
      <x:c r="O125" s="101" t="str">
        <x:f>IF(M125,C125,"")</x:f>
      </x:c>
      <x:c r="P125" s="98" t="str">
        <x:f>IF(N125="DRAFT INCLUDE",ROUNDUP(COUNTIF($N$6:N125,"DRAFT INCLUDE")/'Decision Summary'!$B$12,0),"")</x:f>
      </x:c>
      <x:c r="Q125" s="98" t="str">
        <x:f>IF(N125="DRAFT INCLUDE",MOD(COUNTIF($N$6:N125,"DRAFT INCLUDE")-1,'Decision Summary'!$B$12)+1,"")</x:f>
      </x:c>
      <x:c r="R125" s="98" t="str">
        <x:v>PENDING</x:v>
      </x:c>
      <x:c r="S125" s="98" t="str"/>
      <x:c r="T125" s="98" t="str">
        <x:v>Ordinary EOA candidate; inclusion still depends on V1 deprecation, threshold policy and owner approval.</x:v>
      </x:c>
      <x:c r="U125" s="89" t="str">
        <x:v>https://etherscan.io/token/0x445d03f499f1c150615957bb87588fb465fc91cc#balances</x:v>
      </x:c>
      <x:c r="V125" s="89" t="b">
        <x:f>COUNTIF($C$6:$C$502,C125)&gt;1</x:f>
        <x:v>0</x:v>
      </x:c>
    </x:row>
    <x:row r="126">
      <x:c r="A126" s="89" t="n">
        <x:v>121</x:v>
      </x:c>
      <x:c r="B126" s="89" t="str">
        <x:v>v1-mainnet-0121</x:v>
      </x:c>
      <x:c r="C126" s="90" t="str">
        <x:v>0x9b4252649f043ef520365e4150b65ecd7522fa8d</x:v>
      </x:c>
      <x:c r="D126" s="98" t="str"/>
      <x:c r="E126" s="98" t="str">
        <x:v>EOA_CANDIDATE</x:v>
      </x:c>
      <x:c r="F126" s="91" t="b">
        <x:v>0</x:v>
      </x:c>
      <x:c r="G126" s="89" t="n">
        <x:v>0</x:v>
      </x:c>
      <x:c r="H126" s="90" t="str">
        <x:v>9298100000000</x:v>
      </x:c>
      <x:c r="I126" s="92" t="n">
        <x:v>9.2981</x:v>
      </x:c>
      <x:c r="J126" s="92" t="str">
        <x:v>9298100000000000000</x:v>
      </x:c>
      <x:c r="K126" s="92" t="n">
        <x:v>9.2981</x:v>
      </x:c>
      <x:c r="L126" s="98" t="str">
        <x:v>PENDING_OWNER_ELIGIBILITY_APPROVAL</x:v>
      </x:c>
      <x:c r="M126" s="98" t="b">
        <x:f>IF(E126="EOA_CANDIDATE",I126&gt;='Decision Summary'!$B$11,FALSE)</x:f>
        <x:v>0</x:v>
      </x:c>
      <x:c r="N126" s="98" t="str">
        <x:f>IF(M126,"DRAFT INCLUDE","HOLD / EXCLUDE")</x:f>
        <x:v>HOLD / EXCLUDE</x:v>
      </x:c>
      <x:c r="O126" s="101" t="str">
        <x:f>IF(M126,C126,"")</x:f>
      </x:c>
      <x:c r="P126" s="98" t="str">
        <x:f>IF(N126="DRAFT INCLUDE",ROUNDUP(COUNTIF($N$6:N126,"DRAFT INCLUDE")/'Decision Summary'!$B$12,0),"")</x:f>
      </x:c>
      <x:c r="Q126" s="98" t="str">
        <x:f>IF(N126="DRAFT INCLUDE",MOD(COUNTIF($N$6:N126,"DRAFT INCLUDE")-1,'Decision Summary'!$B$12)+1,"")</x:f>
      </x:c>
      <x:c r="R126" s="98" t="str">
        <x:v>PENDING</x:v>
      </x:c>
      <x:c r="S126" s="98" t="str"/>
      <x:c r="T126" s="98" t="str">
        <x:v>Ordinary EOA candidate; inclusion still depends on V1 deprecation, threshold policy and owner approval.</x:v>
      </x:c>
      <x:c r="U126" s="89" t="str">
        <x:v>https://etherscan.io/token/0x445d03f499f1c150615957bb87588fb465fc91cc#balances</x:v>
      </x:c>
      <x:c r="V126" s="89" t="b">
        <x:f>COUNTIF($C$6:$C$502,C126)&gt;1</x:f>
        <x:v>0</x:v>
      </x:c>
    </x:row>
    <x:row r="127">
      <x:c r="A127" s="89" t="n">
        <x:v>122</x:v>
      </x:c>
      <x:c r="B127" s="89" t="str">
        <x:v>v1-mainnet-0122</x:v>
      </x:c>
      <x:c r="C127" s="90" t="str">
        <x:v>0x18adcd4fb326e3346949209fadd6f0e5945405cf</x:v>
      </x:c>
      <x:c r="D127" s="98" t="str"/>
      <x:c r="E127" s="98" t="str">
        <x:v>EOA_CANDIDATE</x:v>
      </x:c>
      <x:c r="F127" s="91" t="b">
        <x:v>0</x:v>
      </x:c>
      <x:c r="G127" s="89" t="n">
        <x:v>0</x:v>
      </x:c>
      <x:c r="H127" s="90" t="str">
        <x:v>9285300000000</x:v>
      </x:c>
      <x:c r="I127" s="92" t="n">
        <x:v>9.2853</x:v>
      </x:c>
      <x:c r="J127" s="92" t="str">
        <x:v>9285300000000000000</x:v>
      </x:c>
      <x:c r="K127" s="92" t="n">
        <x:v>9.2853</x:v>
      </x:c>
      <x:c r="L127" s="98" t="str">
        <x:v>PENDING_OWNER_ELIGIBILITY_APPROVAL</x:v>
      </x:c>
      <x:c r="M127" s="98" t="b">
        <x:f>IF(E127="EOA_CANDIDATE",I127&gt;='Decision Summary'!$B$11,FALSE)</x:f>
        <x:v>0</x:v>
      </x:c>
      <x:c r="N127" s="98" t="str">
        <x:f>IF(M127,"DRAFT INCLUDE","HOLD / EXCLUDE")</x:f>
        <x:v>HOLD / EXCLUDE</x:v>
      </x:c>
      <x:c r="O127" s="101" t="str">
        <x:f>IF(M127,C127,"")</x:f>
      </x:c>
      <x:c r="P127" s="98" t="str">
        <x:f>IF(N127="DRAFT INCLUDE",ROUNDUP(COUNTIF($N$6:N127,"DRAFT INCLUDE")/'Decision Summary'!$B$12,0),"")</x:f>
      </x:c>
      <x:c r="Q127" s="98" t="str">
        <x:f>IF(N127="DRAFT INCLUDE",MOD(COUNTIF($N$6:N127,"DRAFT INCLUDE")-1,'Decision Summary'!$B$12)+1,"")</x:f>
      </x:c>
      <x:c r="R127" s="98" t="str">
        <x:v>PENDING</x:v>
      </x:c>
      <x:c r="S127" s="98" t="str"/>
      <x:c r="T127" s="98" t="str">
        <x:v>Ordinary EOA candidate; inclusion still depends on V1 deprecation, threshold policy and owner approval.</x:v>
      </x:c>
      <x:c r="U127" s="89" t="str">
        <x:v>https://etherscan.io/token/0x445d03f499f1c150615957bb87588fb465fc91cc#balances</x:v>
      </x:c>
      <x:c r="V127" s="89" t="b">
        <x:f>COUNTIF($C$6:$C$502,C127)&gt;1</x:f>
        <x:v>0</x:v>
      </x:c>
    </x:row>
    <x:row r="128">
      <x:c r="A128" s="89" t="n">
        <x:v>123</x:v>
      </x:c>
      <x:c r="B128" s="89" t="str">
        <x:v>v1-mainnet-0123</x:v>
      </x:c>
      <x:c r="C128" s="90" t="str">
        <x:v>0x1f06d8a80b615bb9c3cf368ef0e11896f3b55eff</x:v>
      </x:c>
      <x:c r="D128" s="98" t="str"/>
      <x:c r="E128" s="98" t="str">
        <x:v>EOA_CANDIDATE</x:v>
      </x:c>
      <x:c r="F128" s="91" t="b">
        <x:v>0</x:v>
      </x:c>
      <x:c r="G128" s="89" t="n">
        <x:v>0</x:v>
      </x:c>
      <x:c r="H128" s="90" t="str">
        <x:v>9279400000000</x:v>
      </x:c>
      <x:c r="I128" s="92" t="n">
        <x:v>9.2794</x:v>
      </x:c>
      <x:c r="J128" s="92" t="str">
        <x:v>9279400000000000000</x:v>
      </x:c>
      <x:c r="K128" s="92" t="n">
        <x:v>9.2794</x:v>
      </x:c>
      <x:c r="L128" s="98" t="str">
        <x:v>PENDING_OWNER_ELIGIBILITY_APPROVAL</x:v>
      </x:c>
      <x:c r="M128" s="98" t="b">
        <x:f>IF(E128="EOA_CANDIDATE",I128&gt;='Decision Summary'!$B$11,FALSE)</x:f>
        <x:v>0</x:v>
      </x:c>
      <x:c r="N128" s="98" t="str">
        <x:f>IF(M128,"DRAFT INCLUDE","HOLD / EXCLUDE")</x:f>
        <x:v>HOLD / EXCLUDE</x:v>
      </x:c>
      <x:c r="O128" s="101" t="str">
        <x:f>IF(M128,C128,"")</x:f>
      </x:c>
      <x:c r="P128" s="98" t="str">
        <x:f>IF(N128="DRAFT INCLUDE",ROUNDUP(COUNTIF($N$6:N128,"DRAFT INCLUDE")/'Decision Summary'!$B$12,0),"")</x:f>
      </x:c>
      <x:c r="Q128" s="98" t="str">
        <x:f>IF(N128="DRAFT INCLUDE",MOD(COUNTIF($N$6:N128,"DRAFT INCLUDE")-1,'Decision Summary'!$B$12)+1,"")</x:f>
      </x:c>
      <x:c r="R128" s="98" t="str">
        <x:v>PENDING</x:v>
      </x:c>
      <x:c r="S128" s="98" t="str"/>
      <x:c r="T128" s="98" t="str">
        <x:v>Ordinary EOA candidate; inclusion still depends on V1 deprecation, threshold policy and owner approval.</x:v>
      </x:c>
      <x:c r="U128" s="89" t="str">
        <x:v>https://etherscan.io/token/0x445d03f499f1c150615957bb87588fb465fc91cc#balances</x:v>
      </x:c>
      <x:c r="V128" s="89" t="b">
        <x:f>COUNTIF($C$6:$C$502,C128)&gt;1</x:f>
        <x:v>0</x:v>
      </x:c>
    </x:row>
    <x:row r="129">
      <x:c r="A129" s="89" t="n">
        <x:v>124</x:v>
      </x:c>
      <x:c r="B129" s="89" t="str">
        <x:v>v1-mainnet-0124</x:v>
      </x:c>
      <x:c r="C129" s="90" t="str">
        <x:v>0xa9a60541fe89d16de9027c83d8fc11f8ce145e61</x:v>
      </x:c>
      <x:c r="D129" s="98" t="str"/>
      <x:c r="E129" s="98" t="str">
        <x:v>EOA_CANDIDATE</x:v>
      </x:c>
      <x:c r="F129" s="91" t="b">
        <x:v>0</x:v>
      </x:c>
      <x:c r="G129" s="89" t="n">
        <x:v>0</x:v>
      </x:c>
      <x:c r="H129" s="90" t="str">
        <x:v>9276000000000</x:v>
      </x:c>
      <x:c r="I129" s="92" t="n">
        <x:v>9.276</x:v>
      </x:c>
      <x:c r="J129" s="92" t="str">
        <x:v>9276000000000000000</x:v>
      </x:c>
      <x:c r="K129" s="92" t="n">
        <x:v>9.276</x:v>
      </x:c>
      <x:c r="L129" s="98" t="str">
        <x:v>PENDING_OWNER_ELIGIBILITY_APPROVAL</x:v>
      </x:c>
      <x:c r="M129" s="98" t="b">
        <x:f>IF(E129="EOA_CANDIDATE",I129&gt;='Decision Summary'!$B$11,FALSE)</x:f>
        <x:v>0</x:v>
      </x:c>
      <x:c r="N129" s="98" t="str">
        <x:f>IF(M129,"DRAFT INCLUDE","HOLD / EXCLUDE")</x:f>
        <x:v>HOLD / EXCLUDE</x:v>
      </x:c>
      <x:c r="O129" s="101" t="str">
        <x:f>IF(M129,C129,"")</x:f>
      </x:c>
      <x:c r="P129" s="98" t="str">
        <x:f>IF(N129="DRAFT INCLUDE",ROUNDUP(COUNTIF($N$6:N129,"DRAFT INCLUDE")/'Decision Summary'!$B$12,0),"")</x:f>
      </x:c>
      <x:c r="Q129" s="98" t="str">
        <x:f>IF(N129="DRAFT INCLUDE",MOD(COUNTIF($N$6:N129,"DRAFT INCLUDE")-1,'Decision Summary'!$B$12)+1,"")</x:f>
      </x:c>
      <x:c r="R129" s="98" t="str">
        <x:v>PENDING</x:v>
      </x:c>
      <x:c r="S129" s="98" t="str"/>
      <x:c r="T129" s="98" t="str">
        <x:v>Ordinary EOA candidate; inclusion still depends on V1 deprecation, threshold policy and owner approval.</x:v>
      </x:c>
      <x:c r="U129" s="89" t="str">
        <x:v>https://etherscan.io/token/0x445d03f499f1c150615957bb87588fb465fc91cc#balances</x:v>
      </x:c>
      <x:c r="V129" s="89" t="b">
        <x:f>COUNTIF($C$6:$C$502,C129)&gt;1</x:f>
        <x:v>0</x:v>
      </x:c>
    </x:row>
    <x:row r="130">
      <x:c r="A130" s="89" t="n">
        <x:v>125</x:v>
      </x:c>
      <x:c r="B130" s="89" t="str">
        <x:v>v1-mainnet-0125</x:v>
      </x:c>
      <x:c r="C130" s="90" t="str">
        <x:v>0x1a86d0f56a4edd5d8e6123fb7da34d1156560d7a</x:v>
      </x:c>
      <x:c r="D130" s="98" t="str"/>
      <x:c r="E130" s="98" t="str">
        <x:v>EOA_CANDIDATE</x:v>
      </x:c>
      <x:c r="F130" s="91" t="b">
        <x:v>0</x:v>
      </x:c>
      <x:c r="G130" s="89" t="n">
        <x:v>0</x:v>
      </x:c>
      <x:c r="H130" s="90" t="str">
        <x:v>9267900000000</x:v>
      </x:c>
      <x:c r="I130" s="92" t="n">
        <x:v>9.2679</x:v>
      </x:c>
      <x:c r="J130" s="92" t="str">
        <x:v>9267900000000000000</x:v>
      </x:c>
      <x:c r="K130" s="92" t="n">
        <x:v>9.2679</x:v>
      </x:c>
      <x:c r="L130" s="98" t="str">
        <x:v>PENDING_OWNER_ELIGIBILITY_APPROVAL</x:v>
      </x:c>
      <x:c r="M130" s="98" t="b">
        <x:f>IF(E130="EOA_CANDIDATE",I130&gt;='Decision Summary'!$B$11,FALSE)</x:f>
        <x:v>0</x:v>
      </x:c>
      <x:c r="N130" s="98" t="str">
        <x:f>IF(M130,"DRAFT INCLUDE","HOLD / EXCLUDE")</x:f>
        <x:v>HOLD / EXCLUDE</x:v>
      </x:c>
      <x:c r="O130" s="101" t="str">
        <x:f>IF(M130,C130,"")</x:f>
      </x:c>
      <x:c r="P130" s="98" t="str">
        <x:f>IF(N130="DRAFT INCLUDE",ROUNDUP(COUNTIF($N$6:N130,"DRAFT INCLUDE")/'Decision Summary'!$B$12,0),"")</x:f>
      </x:c>
      <x:c r="Q130" s="98" t="str">
        <x:f>IF(N130="DRAFT INCLUDE",MOD(COUNTIF($N$6:N130,"DRAFT INCLUDE")-1,'Decision Summary'!$B$12)+1,"")</x:f>
      </x:c>
      <x:c r="R130" s="98" t="str">
        <x:v>PENDING</x:v>
      </x:c>
      <x:c r="S130" s="98" t="str"/>
      <x:c r="T130" s="98" t="str">
        <x:v>Ordinary EOA candidate; inclusion still depends on V1 deprecation, threshold policy and owner approval.</x:v>
      </x:c>
      <x:c r="U130" s="89" t="str">
        <x:v>https://etherscan.io/token/0x445d03f499f1c150615957bb87588fb465fc91cc#balances</x:v>
      </x:c>
      <x:c r="V130" s="89" t="b">
        <x:f>COUNTIF($C$6:$C$502,C130)&gt;1</x:f>
        <x:v>0</x:v>
      </x:c>
    </x:row>
    <x:row r="131">
      <x:c r="A131" s="89" t="n">
        <x:v>126</x:v>
      </x:c>
      <x:c r="B131" s="89" t="str">
        <x:v>v1-mainnet-0126</x:v>
      </x:c>
      <x:c r="C131" s="90" t="str">
        <x:v>0x6eb4ad11e5c93a101cb2e2a0114eb45ad411ec51</x:v>
      </x:c>
      <x:c r="D131" s="98" t="str"/>
      <x:c r="E131" s="98" t="str">
        <x:v>EOA_CANDIDATE</x:v>
      </x:c>
      <x:c r="F131" s="91" t="b">
        <x:v>0</x:v>
      </x:c>
      <x:c r="G131" s="89" t="n">
        <x:v>0</x:v>
      </x:c>
      <x:c r="H131" s="90" t="str">
        <x:v>9245200000000</x:v>
      </x:c>
      <x:c r="I131" s="92" t="n">
        <x:v>9.2452</x:v>
      </x:c>
      <x:c r="J131" s="92" t="str">
        <x:v>9245200000000000000</x:v>
      </x:c>
      <x:c r="K131" s="92" t="n">
        <x:v>9.2452</x:v>
      </x:c>
      <x:c r="L131" s="98" t="str">
        <x:v>PENDING_OWNER_ELIGIBILITY_APPROVAL</x:v>
      </x:c>
      <x:c r="M131" s="98" t="b">
        <x:f>IF(E131="EOA_CANDIDATE",I131&gt;='Decision Summary'!$B$11,FALSE)</x:f>
        <x:v>0</x:v>
      </x:c>
      <x:c r="N131" s="98" t="str">
        <x:f>IF(M131,"DRAFT INCLUDE","HOLD / EXCLUDE")</x:f>
        <x:v>HOLD / EXCLUDE</x:v>
      </x:c>
      <x:c r="O131" s="101" t="str">
        <x:f>IF(M131,C131,"")</x:f>
      </x:c>
      <x:c r="P131" s="98" t="str">
        <x:f>IF(N131="DRAFT INCLUDE",ROUNDUP(COUNTIF($N$6:N131,"DRAFT INCLUDE")/'Decision Summary'!$B$12,0),"")</x:f>
      </x:c>
      <x:c r="Q131" s="98" t="str">
        <x:f>IF(N131="DRAFT INCLUDE",MOD(COUNTIF($N$6:N131,"DRAFT INCLUDE")-1,'Decision Summary'!$B$12)+1,"")</x:f>
      </x:c>
      <x:c r="R131" s="98" t="str">
        <x:v>PENDING</x:v>
      </x:c>
      <x:c r="S131" s="98" t="str"/>
      <x:c r="T131" s="98" t="str">
        <x:v>Ordinary EOA candidate; inclusion still depends on V1 deprecation, threshold policy and owner approval.</x:v>
      </x:c>
      <x:c r="U131" s="89" t="str">
        <x:v>https://etherscan.io/token/0x445d03f499f1c150615957bb87588fb465fc91cc#balances</x:v>
      </x:c>
      <x:c r="V131" s="89" t="b">
        <x:f>COUNTIF($C$6:$C$502,C131)&gt;1</x:f>
        <x:v>0</x:v>
      </x:c>
    </x:row>
    <x:row r="132">
      <x:c r="A132" s="89" t="n">
        <x:v>127</x:v>
      </x:c>
      <x:c r="B132" s="89" t="str">
        <x:v>v1-mainnet-0127</x:v>
      </x:c>
      <x:c r="C132" s="90" t="str">
        <x:v>0xd699e1a5c81bedd6df6cef9d0f6d174ce481e804</x:v>
      </x:c>
      <x:c r="D132" s="98" t="str"/>
      <x:c r="E132" s="98" t="str">
        <x:v>EOA_CANDIDATE</x:v>
      </x:c>
      <x:c r="F132" s="91" t="b">
        <x:v>0</x:v>
      </x:c>
      <x:c r="G132" s="89" t="n">
        <x:v>0</x:v>
      </x:c>
      <x:c r="H132" s="90" t="str">
        <x:v>9243100000000</x:v>
      </x:c>
      <x:c r="I132" s="92" t="n">
        <x:v>9.2431</x:v>
      </x:c>
      <x:c r="J132" s="92" t="str">
        <x:v>9243100000000000000</x:v>
      </x:c>
      <x:c r="K132" s="92" t="n">
        <x:v>9.2431</x:v>
      </x:c>
      <x:c r="L132" s="98" t="str">
        <x:v>PENDING_OWNER_ELIGIBILITY_APPROVAL</x:v>
      </x:c>
      <x:c r="M132" s="98" t="b">
        <x:f>IF(E132="EOA_CANDIDATE",I132&gt;='Decision Summary'!$B$11,FALSE)</x:f>
        <x:v>0</x:v>
      </x:c>
      <x:c r="N132" s="98" t="str">
        <x:f>IF(M132,"DRAFT INCLUDE","HOLD / EXCLUDE")</x:f>
        <x:v>HOLD / EXCLUDE</x:v>
      </x:c>
      <x:c r="O132" s="101" t="str">
        <x:f>IF(M132,C132,"")</x:f>
      </x:c>
      <x:c r="P132" s="98" t="str">
        <x:f>IF(N132="DRAFT INCLUDE",ROUNDUP(COUNTIF($N$6:N132,"DRAFT INCLUDE")/'Decision Summary'!$B$12,0),"")</x:f>
      </x:c>
      <x:c r="Q132" s="98" t="str">
        <x:f>IF(N132="DRAFT INCLUDE",MOD(COUNTIF($N$6:N132,"DRAFT INCLUDE")-1,'Decision Summary'!$B$12)+1,"")</x:f>
      </x:c>
      <x:c r="R132" s="98" t="str">
        <x:v>PENDING</x:v>
      </x:c>
      <x:c r="S132" s="98" t="str"/>
      <x:c r="T132" s="98" t="str">
        <x:v>Ordinary EOA candidate; inclusion still depends on V1 deprecation, threshold policy and owner approval.</x:v>
      </x:c>
      <x:c r="U132" s="89" t="str">
        <x:v>https://etherscan.io/token/0x445d03f499f1c150615957bb87588fb465fc91cc#balances</x:v>
      </x:c>
      <x:c r="V132" s="89" t="b">
        <x:f>COUNTIF($C$6:$C$502,C132)&gt;1</x:f>
        <x:v>0</x:v>
      </x:c>
    </x:row>
    <x:row r="133">
      <x:c r="A133" s="89" t="n">
        <x:v>128</x:v>
      </x:c>
      <x:c r="B133" s="89" t="str">
        <x:v>v1-mainnet-0128</x:v>
      </x:c>
      <x:c r="C133" s="90" t="str">
        <x:v>0x470896e5b25204fdd22c336ca5de6efe85976163</x:v>
      </x:c>
      <x:c r="D133" s="98" t="str"/>
      <x:c r="E133" s="98" t="str">
        <x:v>EOA_CANDIDATE</x:v>
      </x:c>
      <x:c r="F133" s="91" t="b">
        <x:v>0</x:v>
      </x:c>
      <x:c r="G133" s="89" t="n">
        <x:v>0</x:v>
      </x:c>
      <x:c r="H133" s="90" t="str">
        <x:v>9226800000000</x:v>
      </x:c>
      <x:c r="I133" s="92" t="n">
        <x:v>9.2268</x:v>
      </x:c>
      <x:c r="J133" s="92" t="str">
        <x:v>9226800000000000000</x:v>
      </x:c>
      <x:c r="K133" s="92" t="n">
        <x:v>9.2268</x:v>
      </x:c>
      <x:c r="L133" s="98" t="str">
        <x:v>PENDING_OWNER_ELIGIBILITY_APPROVAL</x:v>
      </x:c>
      <x:c r="M133" s="98" t="b">
        <x:f>IF(E133="EOA_CANDIDATE",I133&gt;='Decision Summary'!$B$11,FALSE)</x:f>
        <x:v>0</x:v>
      </x:c>
      <x:c r="N133" s="98" t="str">
        <x:f>IF(M133,"DRAFT INCLUDE","HOLD / EXCLUDE")</x:f>
        <x:v>HOLD / EXCLUDE</x:v>
      </x:c>
      <x:c r="O133" s="101" t="str">
        <x:f>IF(M133,C133,"")</x:f>
      </x:c>
      <x:c r="P133" s="98" t="str">
        <x:f>IF(N133="DRAFT INCLUDE",ROUNDUP(COUNTIF($N$6:N133,"DRAFT INCLUDE")/'Decision Summary'!$B$12,0),"")</x:f>
      </x:c>
      <x:c r="Q133" s="98" t="str">
        <x:f>IF(N133="DRAFT INCLUDE",MOD(COUNTIF($N$6:N133,"DRAFT INCLUDE")-1,'Decision Summary'!$B$12)+1,"")</x:f>
      </x:c>
      <x:c r="R133" s="98" t="str">
        <x:v>PENDING</x:v>
      </x:c>
      <x:c r="S133" s="98" t="str"/>
      <x:c r="T133" s="98" t="str">
        <x:v>Ordinary EOA candidate; inclusion still depends on V1 deprecation, threshold policy and owner approval.</x:v>
      </x:c>
      <x:c r="U133" s="89" t="str">
        <x:v>https://etherscan.io/token/0x445d03f499f1c150615957bb87588fb465fc91cc#balances</x:v>
      </x:c>
      <x:c r="V133" s="89" t="b">
        <x:f>COUNTIF($C$6:$C$502,C133)&gt;1</x:f>
        <x:v>0</x:v>
      </x:c>
    </x:row>
    <x:row r="134">
      <x:c r="A134" s="89" t="n">
        <x:v>129</x:v>
      </x:c>
      <x:c r="B134" s="89" t="str">
        <x:v>v1-mainnet-0129</x:v>
      </x:c>
      <x:c r="C134" s="90" t="str">
        <x:v>0xeb0fd8ec0dc3b7a1771cb6cf35d77af219b6a8b6</x:v>
      </x:c>
      <x:c r="D134" s="98" t="str"/>
      <x:c r="E134" s="98" t="str">
        <x:v>EOA_CANDIDATE</x:v>
      </x:c>
      <x:c r="F134" s="91" t="b">
        <x:v>0</x:v>
      </x:c>
      <x:c r="G134" s="89" t="n">
        <x:v>0</x:v>
      </x:c>
      <x:c r="H134" s="90" t="str">
        <x:v>9223600000000</x:v>
      </x:c>
      <x:c r="I134" s="92" t="n">
        <x:v>9.2236</x:v>
      </x:c>
      <x:c r="J134" s="92" t="str">
        <x:v>9223600000000000000</x:v>
      </x:c>
      <x:c r="K134" s="92" t="n">
        <x:v>9.2236</x:v>
      </x:c>
      <x:c r="L134" s="98" t="str">
        <x:v>PENDING_OWNER_ELIGIBILITY_APPROVAL</x:v>
      </x:c>
      <x:c r="M134" s="98" t="b">
        <x:f>IF(E134="EOA_CANDIDATE",I134&gt;='Decision Summary'!$B$11,FALSE)</x:f>
        <x:v>0</x:v>
      </x:c>
      <x:c r="N134" s="98" t="str">
        <x:f>IF(M134,"DRAFT INCLUDE","HOLD / EXCLUDE")</x:f>
        <x:v>HOLD / EXCLUDE</x:v>
      </x:c>
      <x:c r="O134" s="101" t="str">
        <x:f>IF(M134,C134,"")</x:f>
      </x:c>
      <x:c r="P134" s="98" t="str">
        <x:f>IF(N134="DRAFT INCLUDE",ROUNDUP(COUNTIF($N$6:N134,"DRAFT INCLUDE")/'Decision Summary'!$B$12,0),"")</x:f>
      </x:c>
      <x:c r="Q134" s="98" t="str">
        <x:f>IF(N134="DRAFT INCLUDE",MOD(COUNTIF($N$6:N134,"DRAFT INCLUDE")-1,'Decision Summary'!$B$12)+1,"")</x:f>
      </x:c>
      <x:c r="R134" s="98" t="str">
        <x:v>PENDING</x:v>
      </x:c>
      <x:c r="S134" s="98" t="str"/>
      <x:c r="T134" s="98" t="str">
        <x:v>Ordinary EOA candidate; inclusion still depends on V1 deprecation, threshold policy and owner approval.</x:v>
      </x:c>
      <x:c r="U134" s="89" t="str">
        <x:v>https://etherscan.io/token/0x445d03f499f1c150615957bb87588fb465fc91cc#balances</x:v>
      </x:c>
      <x:c r="V134" s="89" t="b">
        <x:f>COUNTIF($C$6:$C$502,C134)&gt;1</x:f>
        <x:v>0</x:v>
      </x:c>
    </x:row>
    <x:row r="135">
      <x:c r="A135" s="89" t="n">
        <x:v>130</x:v>
      </x:c>
      <x:c r="B135" s="89" t="str">
        <x:v>v1-mainnet-0130</x:v>
      </x:c>
      <x:c r="C135" s="90" t="str">
        <x:v>0xae52131d06eafa56c3b384f0eaf5300bc847855e</x:v>
      </x:c>
      <x:c r="D135" s="98" t="str"/>
      <x:c r="E135" s="98" t="str">
        <x:v>EOA_CANDIDATE</x:v>
      </x:c>
      <x:c r="F135" s="91" t="b">
        <x:v>0</x:v>
      </x:c>
      <x:c r="G135" s="89" t="n">
        <x:v>0</x:v>
      </x:c>
      <x:c r="H135" s="90" t="str">
        <x:v>9169300000000</x:v>
      </x:c>
      <x:c r="I135" s="92" t="n">
        <x:v>9.1693</x:v>
      </x:c>
      <x:c r="J135" s="92" t="str">
        <x:v>9169300000000000000</x:v>
      </x:c>
      <x:c r="K135" s="92" t="n">
        <x:v>9.1693</x:v>
      </x:c>
      <x:c r="L135" s="98" t="str">
        <x:v>PENDING_OWNER_ELIGIBILITY_APPROVAL</x:v>
      </x:c>
      <x:c r="M135" s="98" t="b">
        <x:f>IF(E135="EOA_CANDIDATE",I135&gt;='Decision Summary'!$B$11,FALSE)</x:f>
        <x:v>0</x:v>
      </x:c>
      <x:c r="N135" s="98" t="str">
        <x:f>IF(M135,"DRAFT INCLUDE","HOLD / EXCLUDE")</x:f>
        <x:v>HOLD / EXCLUDE</x:v>
      </x:c>
      <x:c r="O135" s="101" t="str">
        <x:f>IF(M135,C135,"")</x:f>
      </x:c>
      <x:c r="P135" s="98" t="str">
        <x:f>IF(N135="DRAFT INCLUDE",ROUNDUP(COUNTIF($N$6:N135,"DRAFT INCLUDE")/'Decision Summary'!$B$12,0),"")</x:f>
      </x:c>
      <x:c r="Q135" s="98" t="str">
        <x:f>IF(N135="DRAFT INCLUDE",MOD(COUNTIF($N$6:N135,"DRAFT INCLUDE")-1,'Decision Summary'!$B$12)+1,"")</x:f>
      </x:c>
      <x:c r="R135" s="98" t="str">
        <x:v>PENDING</x:v>
      </x:c>
      <x:c r="S135" s="98" t="str"/>
      <x:c r="T135" s="98" t="str">
        <x:v>Ordinary EOA candidate; inclusion still depends on V1 deprecation, threshold policy and owner approval.</x:v>
      </x:c>
      <x:c r="U135" s="89" t="str">
        <x:v>https://etherscan.io/token/0x445d03f499f1c150615957bb87588fb465fc91cc#balances</x:v>
      </x:c>
      <x:c r="V135" s="89" t="b">
        <x:f>COUNTIF($C$6:$C$502,C135)&gt;1</x:f>
        <x:v>0</x:v>
      </x:c>
    </x:row>
    <x:row r="136">
      <x:c r="A136" s="89" t="n">
        <x:v>131</x:v>
      </x:c>
      <x:c r="B136" s="89" t="str">
        <x:v>v1-mainnet-0131</x:v>
      </x:c>
      <x:c r="C136" s="90" t="str">
        <x:v>0xbfd48134d237150ccdb788eb95cb0a4bf31e71f3</x:v>
      </x:c>
      <x:c r="D136" s="98" t="str"/>
      <x:c r="E136" s="98" t="str">
        <x:v>EOA_CANDIDATE</x:v>
      </x:c>
      <x:c r="F136" s="91" t="b">
        <x:v>0</x:v>
      </x:c>
      <x:c r="G136" s="89" t="n">
        <x:v>0</x:v>
      </x:c>
      <x:c r="H136" s="90" t="str">
        <x:v>9169100000000</x:v>
      </x:c>
      <x:c r="I136" s="92" t="n">
        <x:v>9.1691</x:v>
      </x:c>
      <x:c r="J136" s="92" t="str">
        <x:v>9169100000000000000</x:v>
      </x:c>
      <x:c r="K136" s="92" t="n">
        <x:v>9.1691</x:v>
      </x:c>
      <x:c r="L136" s="98" t="str">
        <x:v>PENDING_OWNER_ELIGIBILITY_APPROVAL</x:v>
      </x:c>
      <x:c r="M136" s="98" t="b">
        <x:f>IF(E136="EOA_CANDIDATE",I136&gt;='Decision Summary'!$B$11,FALSE)</x:f>
        <x:v>0</x:v>
      </x:c>
      <x:c r="N136" s="98" t="str">
        <x:f>IF(M136,"DRAFT INCLUDE","HOLD / EXCLUDE")</x:f>
        <x:v>HOLD / EXCLUDE</x:v>
      </x:c>
      <x:c r="O136" s="101" t="str">
        <x:f>IF(M136,C136,"")</x:f>
      </x:c>
      <x:c r="P136" s="98" t="str">
        <x:f>IF(N136="DRAFT INCLUDE",ROUNDUP(COUNTIF($N$6:N136,"DRAFT INCLUDE")/'Decision Summary'!$B$12,0),"")</x:f>
      </x:c>
      <x:c r="Q136" s="98" t="str">
        <x:f>IF(N136="DRAFT INCLUDE",MOD(COUNTIF($N$6:N136,"DRAFT INCLUDE")-1,'Decision Summary'!$B$12)+1,"")</x:f>
      </x:c>
      <x:c r="R136" s="98" t="str">
        <x:v>PENDING</x:v>
      </x:c>
      <x:c r="S136" s="98" t="str"/>
      <x:c r="T136" s="98" t="str">
        <x:v>Ordinary EOA candidate; inclusion still depends on V1 deprecation, threshold policy and owner approval.</x:v>
      </x:c>
      <x:c r="U136" s="89" t="str">
        <x:v>https://etherscan.io/token/0x445d03f499f1c150615957bb87588fb465fc91cc#balances</x:v>
      </x:c>
      <x:c r="V136" s="89" t="b">
        <x:f>COUNTIF($C$6:$C$502,C136)&gt;1</x:f>
        <x:v>0</x:v>
      </x:c>
    </x:row>
    <x:row r="137">
      <x:c r="A137" s="89" t="n">
        <x:v>132</x:v>
      </x:c>
      <x:c r="B137" s="89" t="str">
        <x:v>v1-mainnet-0132</x:v>
      </x:c>
      <x:c r="C137" s="90" t="str">
        <x:v>0xa0ab98ea5b0891ecf159ff17682ca608292f5c8d</x:v>
      </x:c>
      <x:c r="D137" s="98" t="str"/>
      <x:c r="E137" s="98" t="str">
        <x:v>EOA_CANDIDATE</x:v>
      </x:c>
      <x:c r="F137" s="91" t="b">
        <x:v>0</x:v>
      </x:c>
      <x:c r="G137" s="89" t="n">
        <x:v>0</x:v>
      </x:c>
      <x:c r="H137" s="90" t="str">
        <x:v>9167500000000</x:v>
      </x:c>
      <x:c r="I137" s="92" t="n">
        <x:v>9.1675</x:v>
      </x:c>
      <x:c r="J137" s="92" t="str">
        <x:v>9167500000000000000</x:v>
      </x:c>
      <x:c r="K137" s="92" t="n">
        <x:v>9.1675</x:v>
      </x:c>
      <x:c r="L137" s="98" t="str">
        <x:v>PENDING_OWNER_ELIGIBILITY_APPROVAL</x:v>
      </x:c>
      <x:c r="M137" s="98" t="b">
        <x:f>IF(E137="EOA_CANDIDATE",I137&gt;='Decision Summary'!$B$11,FALSE)</x:f>
        <x:v>0</x:v>
      </x:c>
      <x:c r="N137" s="98" t="str">
        <x:f>IF(M137,"DRAFT INCLUDE","HOLD / EXCLUDE")</x:f>
        <x:v>HOLD / EXCLUDE</x:v>
      </x:c>
      <x:c r="O137" s="101" t="str">
        <x:f>IF(M137,C137,"")</x:f>
      </x:c>
      <x:c r="P137" s="98" t="str">
        <x:f>IF(N137="DRAFT INCLUDE",ROUNDUP(COUNTIF($N$6:N137,"DRAFT INCLUDE")/'Decision Summary'!$B$12,0),"")</x:f>
      </x:c>
      <x:c r="Q137" s="98" t="str">
        <x:f>IF(N137="DRAFT INCLUDE",MOD(COUNTIF($N$6:N137,"DRAFT INCLUDE")-1,'Decision Summary'!$B$12)+1,"")</x:f>
      </x:c>
      <x:c r="R137" s="98" t="str">
        <x:v>PENDING</x:v>
      </x:c>
      <x:c r="S137" s="98" t="str"/>
      <x:c r="T137" s="98" t="str">
        <x:v>Ordinary EOA candidate; inclusion still depends on V1 deprecation, threshold policy and owner approval.</x:v>
      </x:c>
      <x:c r="U137" s="89" t="str">
        <x:v>https://etherscan.io/token/0x445d03f499f1c150615957bb87588fb465fc91cc#balances</x:v>
      </x:c>
      <x:c r="V137" s="89" t="b">
        <x:f>COUNTIF($C$6:$C$502,C137)&gt;1</x:f>
        <x:v>0</x:v>
      </x:c>
    </x:row>
    <x:row r="138">
      <x:c r="A138" s="89" t="n">
        <x:v>133</x:v>
      </x:c>
      <x:c r="B138" s="89" t="str">
        <x:v>v1-mainnet-0133</x:v>
      </x:c>
      <x:c r="C138" s="90" t="str">
        <x:v>0x26259c601b2a12337444bd590d46023cef7c67d0</x:v>
      </x:c>
      <x:c r="D138" s="98" t="str"/>
      <x:c r="E138" s="98" t="str">
        <x:v>EOA_CANDIDATE</x:v>
      </x:c>
      <x:c r="F138" s="91" t="b">
        <x:v>0</x:v>
      </x:c>
      <x:c r="G138" s="89" t="n">
        <x:v>0</x:v>
      </x:c>
      <x:c r="H138" s="90" t="str">
        <x:v>9141900000000</x:v>
      </x:c>
      <x:c r="I138" s="92" t="n">
        <x:v>9.1419</x:v>
      </x:c>
      <x:c r="J138" s="92" t="str">
        <x:v>9141900000000000000</x:v>
      </x:c>
      <x:c r="K138" s="92" t="n">
        <x:v>9.1419</x:v>
      </x:c>
      <x:c r="L138" s="98" t="str">
        <x:v>PENDING_OWNER_ELIGIBILITY_APPROVAL</x:v>
      </x:c>
      <x:c r="M138" s="98" t="b">
        <x:f>IF(E138="EOA_CANDIDATE",I138&gt;='Decision Summary'!$B$11,FALSE)</x:f>
        <x:v>0</x:v>
      </x:c>
      <x:c r="N138" s="98" t="str">
        <x:f>IF(M138,"DRAFT INCLUDE","HOLD / EXCLUDE")</x:f>
        <x:v>HOLD / EXCLUDE</x:v>
      </x:c>
      <x:c r="O138" s="101" t="str">
        <x:f>IF(M138,C138,"")</x:f>
      </x:c>
      <x:c r="P138" s="98" t="str">
        <x:f>IF(N138="DRAFT INCLUDE",ROUNDUP(COUNTIF($N$6:N138,"DRAFT INCLUDE")/'Decision Summary'!$B$12,0),"")</x:f>
      </x:c>
      <x:c r="Q138" s="98" t="str">
        <x:f>IF(N138="DRAFT INCLUDE",MOD(COUNTIF($N$6:N138,"DRAFT INCLUDE")-1,'Decision Summary'!$B$12)+1,"")</x:f>
      </x:c>
      <x:c r="R138" s="98" t="str">
        <x:v>PENDING</x:v>
      </x:c>
      <x:c r="S138" s="98" t="str"/>
      <x:c r="T138" s="98" t="str">
        <x:v>Ordinary EOA candidate; inclusion still depends on V1 deprecation, threshold policy and owner approval.</x:v>
      </x:c>
      <x:c r="U138" s="89" t="str">
        <x:v>https://etherscan.io/token/0x445d03f499f1c150615957bb87588fb465fc91cc#balances</x:v>
      </x:c>
      <x:c r="V138" s="89" t="b">
        <x:f>COUNTIF($C$6:$C$502,C138)&gt;1</x:f>
        <x:v>0</x:v>
      </x:c>
    </x:row>
    <x:row r="139">
      <x:c r="A139" s="89" t="n">
        <x:v>134</x:v>
      </x:c>
      <x:c r="B139" s="89" t="str">
        <x:v>v1-mainnet-0134</x:v>
      </x:c>
      <x:c r="C139" s="90" t="str">
        <x:v>0xb17a015a3d2cceea8f8683312923ca2ee0b8217d</x:v>
      </x:c>
      <x:c r="D139" s="98" t="str"/>
      <x:c r="E139" s="98" t="str">
        <x:v>EOA_CANDIDATE</x:v>
      </x:c>
      <x:c r="F139" s="91" t="b">
        <x:v>0</x:v>
      </x:c>
      <x:c r="G139" s="89" t="n">
        <x:v>0</x:v>
      </x:c>
      <x:c r="H139" s="90" t="str">
        <x:v>9141000000000</x:v>
      </x:c>
      <x:c r="I139" s="92" t="n">
        <x:v>9.141</x:v>
      </x:c>
      <x:c r="J139" s="92" t="str">
        <x:v>9141000000000000000</x:v>
      </x:c>
      <x:c r="K139" s="92" t="n">
        <x:v>9.141</x:v>
      </x:c>
      <x:c r="L139" s="98" t="str">
        <x:v>PENDING_OWNER_ELIGIBILITY_APPROVAL</x:v>
      </x:c>
      <x:c r="M139" s="98" t="b">
        <x:f>IF(E139="EOA_CANDIDATE",I139&gt;='Decision Summary'!$B$11,FALSE)</x:f>
        <x:v>0</x:v>
      </x:c>
      <x:c r="N139" s="98" t="str">
        <x:f>IF(M139,"DRAFT INCLUDE","HOLD / EXCLUDE")</x:f>
        <x:v>HOLD / EXCLUDE</x:v>
      </x:c>
      <x:c r="O139" s="101" t="str">
        <x:f>IF(M139,C139,"")</x:f>
      </x:c>
      <x:c r="P139" s="98" t="str">
        <x:f>IF(N139="DRAFT INCLUDE",ROUNDUP(COUNTIF($N$6:N139,"DRAFT INCLUDE")/'Decision Summary'!$B$12,0),"")</x:f>
      </x:c>
      <x:c r="Q139" s="98" t="str">
        <x:f>IF(N139="DRAFT INCLUDE",MOD(COUNTIF($N$6:N139,"DRAFT INCLUDE")-1,'Decision Summary'!$B$12)+1,"")</x:f>
      </x:c>
      <x:c r="R139" s="98" t="str">
        <x:v>PENDING</x:v>
      </x:c>
      <x:c r="S139" s="98" t="str"/>
      <x:c r="T139" s="98" t="str">
        <x:v>Ordinary EOA candidate; inclusion still depends on V1 deprecation, threshold policy and owner approval.</x:v>
      </x:c>
      <x:c r="U139" s="89" t="str">
        <x:v>https://etherscan.io/token/0x445d03f499f1c150615957bb87588fb465fc91cc#balances</x:v>
      </x:c>
      <x:c r="V139" s="89" t="b">
        <x:f>COUNTIF($C$6:$C$502,C139)&gt;1</x:f>
        <x:v>0</x:v>
      </x:c>
    </x:row>
    <x:row r="140">
      <x:c r="A140" s="89" t="n">
        <x:v>135</x:v>
      </x:c>
      <x:c r="B140" s="89" t="str">
        <x:v>v1-mainnet-0135</x:v>
      </x:c>
      <x:c r="C140" s="90" t="str">
        <x:v>0x0f4aa1db7553380424508bea4380e8d94db9e108</x:v>
      </x:c>
      <x:c r="D140" s="98" t="str"/>
      <x:c r="E140" s="98" t="str">
        <x:v>EOA_CANDIDATE</x:v>
      </x:c>
      <x:c r="F140" s="91" t="b">
        <x:v>0</x:v>
      </x:c>
      <x:c r="G140" s="89" t="n">
        <x:v>0</x:v>
      </x:c>
      <x:c r="H140" s="90" t="str">
        <x:v>9127600000000</x:v>
      </x:c>
      <x:c r="I140" s="92" t="n">
        <x:v>9.1276</x:v>
      </x:c>
      <x:c r="J140" s="92" t="str">
        <x:v>9127600000000000000</x:v>
      </x:c>
      <x:c r="K140" s="92" t="n">
        <x:v>9.1276</x:v>
      </x:c>
      <x:c r="L140" s="98" t="str">
        <x:v>PENDING_OWNER_ELIGIBILITY_APPROVAL</x:v>
      </x:c>
      <x:c r="M140" s="98" t="b">
        <x:f>IF(E140="EOA_CANDIDATE",I140&gt;='Decision Summary'!$B$11,FALSE)</x:f>
        <x:v>0</x:v>
      </x:c>
      <x:c r="N140" s="98" t="str">
        <x:f>IF(M140,"DRAFT INCLUDE","HOLD / EXCLUDE")</x:f>
        <x:v>HOLD / EXCLUDE</x:v>
      </x:c>
      <x:c r="O140" s="101" t="str">
        <x:f>IF(M140,C140,"")</x:f>
      </x:c>
      <x:c r="P140" s="98" t="str">
        <x:f>IF(N140="DRAFT INCLUDE",ROUNDUP(COUNTIF($N$6:N140,"DRAFT INCLUDE")/'Decision Summary'!$B$12,0),"")</x:f>
      </x:c>
      <x:c r="Q140" s="98" t="str">
        <x:f>IF(N140="DRAFT INCLUDE",MOD(COUNTIF($N$6:N140,"DRAFT INCLUDE")-1,'Decision Summary'!$B$12)+1,"")</x:f>
      </x:c>
      <x:c r="R140" s="98" t="str">
        <x:v>PENDING</x:v>
      </x:c>
      <x:c r="S140" s="98" t="str"/>
      <x:c r="T140" s="98" t="str">
        <x:v>Ordinary EOA candidate; inclusion still depends on V1 deprecation, threshold policy and owner approval.</x:v>
      </x:c>
      <x:c r="U140" s="89" t="str">
        <x:v>https://etherscan.io/token/0x445d03f499f1c150615957bb87588fb465fc91cc#balances</x:v>
      </x:c>
      <x:c r="V140" s="89" t="b">
        <x:f>COUNTIF($C$6:$C$502,C140)&gt;1</x:f>
        <x:v>0</x:v>
      </x:c>
    </x:row>
    <x:row r="141">
      <x:c r="A141" s="89" t="n">
        <x:v>136</x:v>
      </x:c>
      <x:c r="B141" s="89" t="str">
        <x:v>v1-mainnet-0136</x:v>
      </x:c>
      <x:c r="C141" s="90" t="str">
        <x:v>0x3e48bb2a2525dc49a8c73b0c3a25a7f04ae6d2c2</x:v>
      </x:c>
      <x:c r="D141" s="98" t="str"/>
      <x:c r="E141" s="98" t="str">
        <x:v>EOA_CANDIDATE</x:v>
      </x:c>
      <x:c r="F141" s="91" t="b">
        <x:v>0</x:v>
      </x:c>
      <x:c r="G141" s="89" t="n">
        <x:v>0</x:v>
      </x:c>
      <x:c r="H141" s="90" t="str">
        <x:v>9115200000000</x:v>
      </x:c>
      <x:c r="I141" s="92" t="n">
        <x:v>9.1152</x:v>
      </x:c>
      <x:c r="J141" s="92" t="str">
        <x:v>9115200000000000000</x:v>
      </x:c>
      <x:c r="K141" s="92" t="n">
        <x:v>9.1152</x:v>
      </x:c>
      <x:c r="L141" s="98" t="str">
        <x:v>PENDING_OWNER_ELIGIBILITY_APPROVAL</x:v>
      </x:c>
      <x:c r="M141" s="98" t="b">
        <x:f>IF(E141="EOA_CANDIDATE",I141&gt;='Decision Summary'!$B$11,FALSE)</x:f>
        <x:v>0</x:v>
      </x:c>
      <x:c r="N141" s="98" t="str">
        <x:f>IF(M141,"DRAFT INCLUDE","HOLD / EXCLUDE")</x:f>
        <x:v>HOLD / EXCLUDE</x:v>
      </x:c>
      <x:c r="O141" s="101" t="str">
        <x:f>IF(M141,C141,"")</x:f>
      </x:c>
      <x:c r="P141" s="98" t="str">
        <x:f>IF(N141="DRAFT INCLUDE",ROUNDUP(COUNTIF($N$6:N141,"DRAFT INCLUDE")/'Decision Summary'!$B$12,0),"")</x:f>
      </x:c>
      <x:c r="Q141" s="98" t="str">
        <x:f>IF(N141="DRAFT INCLUDE",MOD(COUNTIF($N$6:N141,"DRAFT INCLUDE")-1,'Decision Summary'!$B$12)+1,"")</x:f>
      </x:c>
      <x:c r="R141" s="98" t="str">
        <x:v>PENDING</x:v>
      </x:c>
      <x:c r="S141" s="98" t="str"/>
      <x:c r="T141" s="98" t="str">
        <x:v>Ordinary EOA candidate; inclusion still depends on V1 deprecation, threshold policy and owner approval.</x:v>
      </x:c>
      <x:c r="U141" s="89" t="str">
        <x:v>https://etherscan.io/token/0x445d03f499f1c150615957bb87588fb465fc91cc#balances</x:v>
      </x:c>
      <x:c r="V141" s="89" t="b">
        <x:f>COUNTIF($C$6:$C$502,C141)&gt;1</x:f>
        <x:v>0</x:v>
      </x:c>
    </x:row>
    <x:row r="142">
      <x:c r="A142" s="89" t="n">
        <x:v>137</x:v>
      </x:c>
      <x:c r="B142" s="89" t="str">
        <x:v>v1-mainnet-0137</x:v>
      </x:c>
      <x:c r="C142" s="90" t="str">
        <x:v>0xeb274368dd5eebe016af98d59ac76d3c2e8aa8ab</x:v>
      </x:c>
      <x:c r="D142" s="98" t="str"/>
      <x:c r="E142" s="98" t="str">
        <x:v>EOA_CANDIDATE</x:v>
      </x:c>
      <x:c r="F142" s="91" t="b">
        <x:v>0</x:v>
      </x:c>
      <x:c r="G142" s="89" t="n">
        <x:v>0</x:v>
      </x:c>
      <x:c r="H142" s="90" t="str">
        <x:v>9040400000000</x:v>
      </x:c>
      <x:c r="I142" s="92" t="n">
        <x:v>9.0404</x:v>
      </x:c>
      <x:c r="J142" s="92" t="str">
        <x:v>9040400000000000000</x:v>
      </x:c>
      <x:c r="K142" s="92" t="n">
        <x:v>9.0404</x:v>
      </x:c>
      <x:c r="L142" s="98" t="str">
        <x:v>PENDING_OWNER_ELIGIBILITY_APPROVAL</x:v>
      </x:c>
      <x:c r="M142" s="98" t="b">
        <x:f>IF(E142="EOA_CANDIDATE",I142&gt;='Decision Summary'!$B$11,FALSE)</x:f>
        <x:v>0</x:v>
      </x:c>
      <x:c r="N142" s="98" t="str">
        <x:f>IF(M142,"DRAFT INCLUDE","HOLD / EXCLUDE")</x:f>
        <x:v>HOLD / EXCLUDE</x:v>
      </x:c>
      <x:c r="O142" s="101" t="str">
        <x:f>IF(M142,C142,"")</x:f>
      </x:c>
      <x:c r="P142" s="98" t="str">
        <x:f>IF(N142="DRAFT INCLUDE",ROUNDUP(COUNTIF($N$6:N142,"DRAFT INCLUDE")/'Decision Summary'!$B$12,0),"")</x:f>
      </x:c>
      <x:c r="Q142" s="98" t="str">
        <x:f>IF(N142="DRAFT INCLUDE",MOD(COUNTIF($N$6:N142,"DRAFT INCLUDE")-1,'Decision Summary'!$B$12)+1,"")</x:f>
      </x:c>
      <x:c r="R142" s="98" t="str">
        <x:v>PENDING</x:v>
      </x:c>
      <x:c r="S142" s="98" t="str"/>
      <x:c r="T142" s="98" t="str">
        <x:v>Ordinary EOA candidate; inclusion still depends on V1 deprecation, threshold policy and owner approval.</x:v>
      </x:c>
      <x:c r="U142" s="89" t="str">
        <x:v>https://etherscan.io/token/0x445d03f499f1c150615957bb87588fb465fc91cc#balances</x:v>
      </x:c>
      <x:c r="V142" s="89" t="b">
        <x:f>COUNTIF($C$6:$C$502,C142)&gt;1</x:f>
        <x:v>0</x:v>
      </x:c>
    </x:row>
    <x:row r="143">
      <x:c r="A143" s="89" t="n">
        <x:v>138</x:v>
      </x:c>
      <x:c r="B143" s="89" t="str">
        <x:v>v1-mainnet-0138</x:v>
      </x:c>
      <x:c r="C143" s="90" t="str">
        <x:v>0x18ea4ee55ce71b8ab1450d9d6926c4990d1f2059</x:v>
      </x:c>
      <x:c r="D143" s="98" t="str"/>
      <x:c r="E143" s="98" t="str">
        <x:v>EOA_CANDIDATE</x:v>
      </x:c>
      <x:c r="F143" s="91" t="b">
        <x:v>0</x:v>
      </x:c>
      <x:c r="G143" s="89" t="n">
        <x:v>0</x:v>
      </x:c>
      <x:c r="H143" s="90" t="str">
        <x:v>9022800000000</x:v>
      </x:c>
      <x:c r="I143" s="92" t="n">
        <x:v>9.0228</x:v>
      </x:c>
      <x:c r="J143" s="92" t="str">
        <x:v>9022800000000000000</x:v>
      </x:c>
      <x:c r="K143" s="92" t="n">
        <x:v>9.0228</x:v>
      </x:c>
      <x:c r="L143" s="98" t="str">
        <x:v>PENDING_OWNER_ELIGIBILITY_APPROVAL</x:v>
      </x:c>
      <x:c r="M143" s="98" t="b">
        <x:f>IF(E143="EOA_CANDIDATE",I143&gt;='Decision Summary'!$B$11,FALSE)</x:f>
        <x:v>0</x:v>
      </x:c>
      <x:c r="N143" s="98" t="str">
        <x:f>IF(M143,"DRAFT INCLUDE","HOLD / EXCLUDE")</x:f>
        <x:v>HOLD / EXCLUDE</x:v>
      </x:c>
      <x:c r="O143" s="101" t="str">
        <x:f>IF(M143,C143,"")</x:f>
      </x:c>
      <x:c r="P143" s="98" t="str">
        <x:f>IF(N143="DRAFT INCLUDE",ROUNDUP(COUNTIF($N$6:N143,"DRAFT INCLUDE")/'Decision Summary'!$B$12,0),"")</x:f>
      </x:c>
      <x:c r="Q143" s="98" t="str">
        <x:f>IF(N143="DRAFT INCLUDE",MOD(COUNTIF($N$6:N143,"DRAFT INCLUDE")-1,'Decision Summary'!$B$12)+1,"")</x:f>
      </x:c>
      <x:c r="R143" s="98" t="str">
        <x:v>PENDING</x:v>
      </x:c>
      <x:c r="S143" s="98" t="str"/>
      <x:c r="T143" s="98" t="str">
        <x:v>Ordinary EOA candidate; inclusion still depends on V1 deprecation, threshold policy and owner approval.</x:v>
      </x:c>
      <x:c r="U143" s="89" t="str">
        <x:v>https://etherscan.io/token/0x445d03f499f1c150615957bb87588fb465fc91cc#balances</x:v>
      </x:c>
      <x:c r="V143" s="89" t="b">
        <x:f>COUNTIF($C$6:$C$502,C143)&gt;1</x:f>
        <x:v>0</x:v>
      </x:c>
    </x:row>
    <x:row r="144">
      <x:c r="A144" s="89" t="n">
        <x:v>139</x:v>
      </x:c>
      <x:c r="B144" s="89" t="str">
        <x:v>v1-mainnet-0139</x:v>
      </x:c>
      <x:c r="C144" s="90" t="str">
        <x:v>0x00dcd6ce82a7cc58112b0e3e3ea61160f2d5fdc6</x:v>
      </x:c>
      <x:c r="D144" s="98" t="str"/>
      <x:c r="E144" s="98" t="str">
        <x:v>EOA_CANDIDATE</x:v>
      </x:c>
      <x:c r="F144" s="91" t="b">
        <x:v>0</x:v>
      </x:c>
      <x:c r="G144" s="89" t="n">
        <x:v>0</x:v>
      </x:c>
      <x:c r="H144" s="90" t="str">
        <x:v>9008000000000</x:v>
      </x:c>
      <x:c r="I144" s="92" t="n">
        <x:v>9.008</x:v>
      </x:c>
      <x:c r="J144" s="92" t="str">
        <x:v>9008000000000000000</x:v>
      </x:c>
      <x:c r="K144" s="92" t="n">
        <x:v>9.008</x:v>
      </x:c>
      <x:c r="L144" s="98" t="str">
        <x:v>PENDING_OWNER_ELIGIBILITY_APPROVAL</x:v>
      </x:c>
      <x:c r="M144" s="98" t="b">
        <x:f>IF(E144="EOA_CANDIDATE",I144&gt;='Decision Summary'!$B$11,FALSE)</x:f>
        <x:v>0</x:v>
      </x:c>
      <x:c r="N144" s="98" t="str">
        <x:f>IF(M144,"DRAFT INCLUDE","HOLD / EXCLUDE")</x:f>
        <x:v>HOLD / EXCLUDE</x:v>
      </x:c>
      <x:c r="O144" s="101" t="str">
        <x:f>IF(M144,C144,"")</x:f>
      </x:c>
      <x:c r="P144" s="98" t="str">
        <x:f>IF(N144="DRAFT INCLUDE",ROUNDUP(COUNTIF($N$6:N144,"DRAFT INCLUDE")/'Decision Summary'!$B$12,0),"")</x:f>
      </x:c>
      <x:c r="Q144" s="98" t="str">
        <x:f>IF(N144="DRAFT INCLUDE",MOD(COUNTIF($N$6:N144,"DRAFT INCLUDE")-1,'Decision Summary'!$B$12)+1,"")</x:f>
      </x:c>
      <x:c r="R144" s="98" t="str">
        <x:v>PENDING</x:v>
      </x:c>
      <x:c r="S144" s="98" t="str"/>
      <x:c r="T144" s="98" t="str">
        <x:v>Ordinary EOA candidate; inclusion still depends on V1 deprecation, threshold policy and owner approval.</x:v>
      </x:c>
      <x:c r="U144" s="89" t="str">
        <x:v>https://etherscan.io/token/0x445d03f499f1c150615957bb87588fb465fc91cc#balances</x:v>
      </x:c>
      <x:c r="V144" s="89" t="b">
        <x:f>COUNTIF($C$6:$C$502,C144)&gt;1</x:f>
        <x:v>0</x:v>
      </x:c>
    </x:row>
    <x:row r="145">
      <x:c r="A145" s="89" t="n">
        <x:v>140</x:v>
      </x:c>
      <x:c r="B145" s="89" t="str">
        <x:v>v1-mainnet-0140</x:v>
      </x:c>
      <x:c r="C145" s="90" t="str">
        <x:v>0x17503a8ff45719cbf4f518f186b8b49b9b8deb0f</x:v>
      </x:c>
      <x:c r="D145" s="98" t="str"/>
      <x:c r="E145" s="98" t="str">
        <x:v>EOA_CANDIDATE</x:v>
      </x:c>
      <x:c r="F145" s="91" t="b">
        <x:v>0</x:v>
      </x:c>
      <x:c r="G145" s="89" t="n">
        <x:v>0</x:v>
      </x:c>
      <x:c r="H145" s="90" t="str">
        <x:v>8976300000000</x:v>
      </x:c>
      <x:c r="I145" s="92" t="n">
        <x:v>8.9763</x:v>
      </x:c>
      <x:c r="J145" s="92" t="str">
        <x:v>8976300000000000000</x:v>
      </x:c>
      <x:c r="K145" s="92" t="n">
        <x:v>8.9763</x:v>
      </x:c>
      <x:c r="L145" s="98" t="str">
        <x:v>PENDING_OWNER_ELIGIBILITY_APPROVAL</x:v>
      </x:c>
      <x:c r="M145" s="98" t="b">
        <x:f>IF(E145="EOA_CANDIDATE",I145&gt;='Decision Summary'!$B$11,FALSE)</x:f>
        <x:v>0</x:v>
      </x:c>
      <x:c r="N145" s="98" t="str">
        <x:f>IF(M145,"DRAFT INCLUDE","HOLD / EXCLUDE")</x:f>
        <x:v>HOLD / EXCLUDE</x:v>
      </x:c>
      <x:c r="O145" s="101" t="str">
        <x:f>IF(M145,C145,"")</x:f>
      </x:c>
      <x:c r="P145" s="98" t="str">
        <x:f>IF(N145="DRAFT INCLUDE",ROUNDUP(COUNTIF($N$6:N145,"DRAFT INCLUDE")/'Decision Summary'!$B$12,0),"")</x:f>
      </x:c>
      <x:c r="Q145" s="98" t="str">
        <x:f>IF(N145="DRAFT INCLUDE",MOD(COUNTIF($N$6:N145,"DRAFT INCLUDE")-1,'Decision Summary'!$B$12)+1,"")</x:f>
      </x:c>
      <x:c r="R145" s="98" t="str">
        <x:v>PENDING</x:v>
      </x:c>
      <x:c r="S145" s="98" t="str"/>
      <x:c r="T145" s="98" t="str">
        <x:v>Ordinary EOA candidate; inclusion still depends on V1 deprecation, threshold policy and owner approval.</x:v>
      </x:c>
      <x:c r="U145" s="89" t="str">
        <x:v>https://etherscan.io/token/0x445d03f499f1c150615957bb87588fb465fc91cc#balances</x:v>
      </x:c>
      <x:c r="V145" s="89" t="b">
        <x:f>COUNTIF($C$6:$C$502,C145)&gt;1</x:f>
        <x:v>0</x:v>
      </x:c>
    </x:row>
    <x:row r="146">
      <x:c r="A146" s="89" t="n">
        <x:v>141</x:v>
      </x:c>
      <x:c r="B146" s="89" t="str">
        <x:v>v1-mainnet-0141</x:v>
      </x:c>
      <x:c r="C146" s="90" t="str">
        <x:v>0xbf58c606f8249aa2cf17a72fae161f355e5ee445</x:v>
      </x:c>
      <x:c r="D146" s="98" t="str"/>
      <x:c r="E146" s="98" t="str">
        <x:v>EOA_CANDIDATE</x:v>
      </x:c>
      <x:c r="F146" s="91" t="b">
        <x:v>0</x:v>
      </x:c>
      <x:c r="G146" s="89" t="n">
        <x:v>0</x:v>
      </x:c>
      <x:c r="H146" s="90" t="str">
        <x:v>8973700000000</x:v>
      </x:c>
      <x:c r="I146" s="92" t="n">
        <x:v>8.9737</x:v>
      </x:c>
      <x:c r="J146" s="92" t="str">
        <x:v>8973700000000000000</x:v>
      </x:c>
      <x:c r="K146" s="92" t="n">
        <x:v>8.9737</x:v>
      </x:c>
      <x:c r="L146" s="98" t="str">
        <x:v>PENDING_OWNER_ELIGIBILITY_APPROVAL</x:v>
      </x:c>
      <x:c r="M146" s="98" t="b">
        <x:f>IF(E146="EOA_CANDIDATE",I146&gt;='Decision Summary'!$B$11,FALSE)</x:f>
        <x:v>0</x:v>
      </x:c>
      <x:c r="N146" s="98" t="str">
        <x:f>IF(M146,"DRAFT INCLUDE","HOLD / EXCLUDE")</x:f>
        <x:v>HOLD / EXCLUDE</x:v>
      </x:c>
      <x:c r="O146" s="101" t="str">
        <x:f>IF(M146,C146,"")</x:f>
      </x:c>
      <x:c r="P146" s="98" t="str">
        <x:f>IF(N146="DRAFT INCLUDE",ROUNDUP(COUNTIF($N$6:N146,"DRAFT INCLUDE")/'Decision Summary'!$B$12,0),"")</x:f>
      </x:c>
      <x:c r="Q146" s="98" t="str">
        <x:f>IF(N146="DRAFT INCLUDE",MOD(COUNTIF($N$6:N146,"DRAFT INCLUDE")-1,'Decision Summary'!$B$12)+1,"")</x:f>
      </x:c>
      <x:c r="R146" s="98" t="str">
        <x:v>PENDING</x:v>
      </x:c>
      <x:c r="S146" s="98" t="str"/>
      <x:c r="T146" s="98" t="str">
        <x:v>Ordinary EOA candidate; inclusion still depends on V1 deprecation, threshold policy and owner approval.</x:v>
      </x:c>
      <x:c r="U146" s="89" t="str">
        <x:v>https://etherscan.io/token/0x445d03f499f1c150615957bb87588fb465fc91cc#balances</x:v>
      </x:c>
      <x:c r="V146" s="89" t="b">
        <x:f>COUNTIF($C$6:$C$502,C146)&gt;1</x:f>
        <x:v>0</x:v>
      </x:c>
    </x:row>
    <x:row r="147">
      <x:c r="A147" s="89" t="n">
        <x:v>142</x:v>
      </x:c>
      <x:c r="B147" s="89" t="str">
        <x:v>v1-mainnet-0142</x:v>
      </x:c>
      <x:c r="C147" s="90" t="str">
        <x:v>0x8fb8fe47d8523b592e29b8e75e6e0db90b9b12e8</x:v>
      </x:c>
      <x:c r="D147" s="98" t="str"/>
      <x:c r="E147" s="98" t="str">
        <x:v>EOA_CANDIDATE</x:v>
      </x:c>
      <x:c r="F147" s="91" t="b">
        <x:v>0</x:v>
      </x:c>
      <x:c r="G147" s="89" t="n">
        <x:v>0</x:v>
      </x:c>
      <x:c r="H147" s="90" t="str">
        <x:v>8935500000000</x:v>
      </x:c>
      <x:c r="I147" s="92" t="n">
        <x:v>8.9355</x:v>
      </x:c>
      <x:c r="J147" s="92" t="str">
        <x:v>8935500000000000000</x:v>
      </x:c>
      <x:c r="K147" s="92" t="n">
        <x:v>8.9355</x:v>
      </x:c>
      <x:c r="L147" s="98" t="str">
        <x:v>PENDING_OWNER_ELIGIBILITY_APPROVAL</x:v>
      </x:c>
      <x:c r="M147" s="98" t="b">
        <x:f>IF(E147="EOA_CANDIDATE",I147&gt;='Decision Summary'!$B$11,FALSE)</x:f>
        <x:v>0</x:v>
      </x:c>
      <x:c r="N147" s="98" t="str">
        <x:f>IF(M147,"DRAFT INCLUDE","HOLD / EXCLUDE")</x:f>
        <x:v>HOLD / EXCLUDE</x:v>
      </x:c>
      <x:c r="O147" s="101" t="str">
        <x:f>IF(M147,C147,"")</x:f>
      </x:c>
      <x:c r="P147" s="98" t="str">
        <x:f>IF(N147="DRAFT INCLUDE",ROUNDUP(COUNTIF($N$6:N147,"DRAFT INCLUDE")/'Decision Summary'!$B$12,0),"")</x:f>
      </x:c>
      <x:c r="Q147" s="98" t="str">
        <x:f>IF(N147="DRAFT INCLUDE",MOD(COUNTIF($N$6:N147,"DRAFT INCLUDE")-1,'Decision Summary'!$B$12)+1,"")</x:f>
      </x:c>
      <x:c r="R147" s="98" t="str">
        <x:v>PENDING</x:v>
      </x:c>
      <x:c r="S147" s="98" t="str"/>
      <x:c r="T147" s="98" t="str">
        <x:v>Ordinary EOA candidate; inclusion still depends on V1 deprecation, threshold policy and owner approval.</x:v>
      </x:c>
      <x:c r="U147" s="89" t="str">
        <x:v>https://etherscan.io/token/0x445d03f499f1c150615957bb87588fb465fc91cc#balances</x:v>
      </x:c>
      <x:c r="V147" s="89" t="b">
        <x:f>COUNTIF($C$6:$C$502,C147)&gt;1</x:f>
        <x:v>0</x:v>
      </x:c>
    </x:row>
    <x:row r="148">
      <x:c r="A148" s="89" t="n">
        <x:v>143</x:v>
      </x:c>
      <x:c r="B148" s="89" t="str">
        <x:v>v1-mainnet-0143</x:v>
      </x:c>
      <x:c r="C148" s="90" t="str">
        <x:v>0x643de75963be4ba68c58c6c0f22da2ad94f3cd48</x:v>
      </x:c>
      <x:c r="D148" s="98" t="str"/>
      <x:c r="E148" s="98" t="str">
        <x:v>EOA_CANDIDATE</x:v>
      </x:c>
      <x:c r="F148" s="91" t="b">
        <x:v>0</x:v>
      </x:c>
      <x:c r="G148" s="89" t="n">
        <x:v>0</x:v>
      </x:c>
      <x:c r="H148" s="90" t="str">
        <x:v>8916700000000</x:v>
      </x:c>
      <x:c r="I148" s="92" t="n">
        <x:v>8.9167</x:v>
      </x:c>
      <x:c r="J148" s="92" t="str">
        <x:v>8916700000000000000</x:v>
      </x:c>
      <x:c r="K148" s="92" t="n">
        <x:v>8.9167</x:v>
      </x:c>
      <x:c r="L148" s="98" t="str">
        <x:v>PENDING_OWNER_ELIGIBILITY_APPROVAL</x:v>
      </x:c>
      <x:c r="M148" s="98" t="b">
        <x:f>IF(E148="EOA_CANDIDATE",I148&gt;='Decision Summary'!$B$11,FALSE)</x:f>
        <x:v>0</x:v>
      </x:c>
      <x:c r="N148" s="98" t="str">
        <x:f>IF(M148,"DRAFT INCLUDE","HOLD / EXCLUDE")</x:f>
        <x:v>HOLD / EXCLUDE</x:v>
      </x:c>
      <x:c r="O148" s="101" t="str">
        <x:f>IF(M148,C148,"")</x:f>
      </x:c>
      <x:c r="P148" s="98" t="str">
        <x:f>IF(N148="DRAFT INCLUDE",ROUNDUP(COUNTIF($N$6:N148,"DRAFT INCLUDE")/'Decision Summary'!$B$12,0),"")</x:f>
      </x:c>
      <x:c r="Q148" s="98" t="str">
        <x:f>IF(N148="DRAFT INCLUDE",MOD(COUNTIF($N$6:N148,"DRAFT INCLUDE")-1,'Decision Summary'!$B$12)+1,"")</x:f>
      </x:c>
      <x:c r="R148" s="98" t="str">
        <x:v>PENDING</x:v>
      </x:c>
      <x:c r="S148" s="98" t="str"/>
      <x:c r="T148" s="98" t="str">
        <x:v>Ordinary EOA candidate; inclusion still depends on V1 deprecation, threshold policy and owner approval.</x:v>
      </x:c>
      <x:c r="U148" s="89" t="str">
        <x:v>https://etherscan.io/token/0x445d03f499f1c150615957bb87588fb465fc91cc#balances</x:v>
      </x:c>
      <x:c r="V148" s="89" t="b">
        <x:f>COUNTIF($C$6:$C$502,C148)&gt;1</x:f>
        <x:v>0</x:v>
      </x:c>
    </x:row>
    <x:row r="149">
      <x:c r="A149" s="89" t="n">
        <x:v>144</x:v>
      </x:c>
      <x:c r="B149" s="89" t="str">
        <x:v>v1-mainnet-0144</x:v>
      </x:c>
      <x:c r="C149" s="90" t="str">
        <x:v>0x8992d1380657ae46d18423417c4eed9bdd4c1f81</x:v>
      </x:c>
      <x:c r="D149" s="98" t="str"/>
      <x:c r="E149" s="98" t="str">
        <x:v>EOA_CANDIDATE</x:v>
      </x:c>
      <x:c r="F149" s="91" t="b">
        <x:v>0</x:v>
      </x:c>
      <x:c r="G149" s="89" t="n">
        <x:v>0</x:v>
      </x:c>
      <x:c r="H149" s="90" t="str">
        <x:v>8916300000000</x:v>
      </x:c>
      <x:c r="I149" s="92" t="n">
        <x:v>8.9163</x:v>
      </x:c>
      <x:c r="J149" s="92" t="str">
        <x:v>8916300000000000000</x:v>
      </x:c>
      <x:c r="K149" s="92" t="n">
        <x:v>8.9163</x:v>
      </x:c>
      <x:c r="L149" s="98" t="str">
        <x:v>PENDING_OWNER_ELIGIBILITY_APPROVAL</x:v>
      </x:c>
      <x:c r="M149" s="98" t="b">
        <x:f>IF(E149="EOA_CANDIDATE",I149&gt;='Decision Summary'!$B$11,FALSE)</x:f>
        <x:v>0</x:v>
      </x:c>
      <x:c r="N149" s="98" t="str">
        <x:f>IF(M149,"DRAFT INCLUDE","HOLD / EXCLUDE")</x:f>
        <x:v>HOLD / EXCLUDE</x:v>
      </x:c>
      <x:c r="O149" s="101" t="str">
        <x:f>IF(M149,C149,"")</x:f>
      </x:c>
      <x:c r="P149" s="98" t="str">
        <x:f>IF(N149="DRAFT INCLUDE",ROUNDUP(COUNTIF($N$6:N149,"DRAFT INCLUDE")/'Decision Summary'!$B$12,0),"")</x:f>
      </x:c>
      <x:c r="Q149" s="98" t="str">
        <x:f>IF(N149="DRAFT INCLUDE",MOD(COUNTIF($N$6:N149,"DRAFT INCLUDE")-1,'Decision Summary'!$B$12)+1,"")</x:f>
      </x:c>
      <x:c r="R149" s="98" t="str">
        <x:v>PENDING</x:v>
      </x:c>
      <x:c r="S149" s="98" t="str"/>
      <x:c r="T149" s="98" t="str">
        <x:v>Ordinary EOA candidate; inclusion still depends on V1 deprecation, threshold policy and owner approval.</x:v>
      </x:c>
      <x:c r="U149" s="89" t="str">
        <x:v>https://etherscan.io/token/0x445d03f499f1c150615957bb87588fb465fc91cc#balances</x:v>
      </x:c>
      <x:c r="V149" s="89" t="b">
        <x:f>COUNTIF($C$6:$C$502,C149)&gt;1</x:f>
        <x:v>0</x:v>
      </x:c>
    </x:row>
    <x:row r="150">
      <x:c r="A150" s="89" t="n">
        <x:v>145</x:v>
      </x:c>
      <x:c r="B150" s="89" t="str">
        <x:v>v1-mainnet-0145</x:v>
      </x:c>
      <x:c r="C150" s="90" t="str">
        <x:v>0xf7c8426d1f1472561a9b54146c0ef6f5a911a73d</x:v>
      </x:c>
      <x:c r="D150" s="98" t="str"/>
      <x:c r="E150" s="98" t="str">
        <x:v>EOA_CANDIDATE</x:v>
      </x:c>
      <x:c r="F150" s="91" t="b">
        <x:v>0</x:v>
      </x:c>
      <x:c r="G150" s="89" t="n">
        <x:v>0</x:v>
      </x:c>
      <x:c r="H150" s="90" t="str">
        <x:v>8910800000000</x:v>
      </x:c>
      <x:c r="I150" s="92" t="n">
        <x:v>8.9108</x:v>
      </x:c>
      <x:c r="J150" s="92" t="str">
        <x:v>8910800000000000000</x:v>
      </x:c>
      <x:c r="K150" s="92" t="n">
        <x:v>8.9108</x:v>
      </x:c>
      <x:c r="L150" s="98" t="str">
        <x:v>PENDING_OWNER_ELIGIBILITY_APPROVAL</x:v>
      </x:c>
      <x:c r="M150" s="98" t="b">
        <x:f>IF(E150="EOA_CANDIDATE",I150&gt;='Decision Summary'!$B$11,FALSE)</x:f>
        <x:v>0</x:v>
      </x:c>
      <x:c r="N150" s="98" t="str">
        <x:f>IF(M150,"DRAFT INCLUDE","HOLD / EXCLUDE")</x:f>
        <x:v>HOLD / EXCLUDE</x:v>
      </x:c>
      <x:c r="O150" s="101" t="str">
        <x:f>IF(M150,C150,"")</x:f>
      </x:c>
      <x:c r="P150" s="98" t="str">
        <x:f>IF(N150="DRAFT INCLUDE",ROUNDUP(COUNTIF($N$6:N150,"DRAFT INCLUDE")/'Decision Summary'!$B$12,0),"")</x:f>
      </x:c>
      <x:c r="Q150" s="98" t="str">
        <x:f>IF(N150="DRAFT INCLUDE",MOD(COUNTIF($N$6:N150,"DRAFT INCLUDE")-1,'Decision Summary'!$B$12)+1,"")</x:f>
      </x:c>
      <x:c r="R150" s="98" t="str">
        <x:v>PENDING</x:v>
      </x:c>
      <x:c r="S150" s="98" t="str"/>
      <x:c r="T150" s="98" t="str">
        <x:v>Ordinary EOA candidate; inclusion still depends on V1 deprecation, threshold policy and owner approval.</x:v>
      </x:c>
      <x:c r="U150" s="89" t="str">
        <x:v>https://etherscan.io/token/0x445d03f499f1c150615957bb87588fb465fc91cc#balances</x:v>
      </x:c>
      <x:c r="V150" s="89" t="b">
        <x:f>COUNTIF($C$6:$C$502,C150)&gt;1</x:f>
        <x:v>0</x:v>
      </x:c>
    </x:row>
    <x:row r="151">
      <x:c r="A151" s="89" t="n">
        <x:v>146</x:v>
      </x:c>
      <x:c r="B151" s="89" t="str">
        <x:v>v1-mainnet-0146</x:v>
      </x:c>
      <x:c r="C151" s="90" t="str">
        <x:v>0xf50d4183552ba2a689a5f8082553e32bac09f7be</x:v>
      </x:c>
      <x:c r="D151" s="98" t="str"/>
      <x:c r="E151" s="98" t="str">
        <x:v>EOA_CANDIDATE</x:v>
      </x:c>
      <x:c r="F151" s="91" t="b">
        <x:v>0</x:v>
      </x:c>
      <x:c r="G151" s="89" t="n">
        <x:v>0</x:v>
      </x:c>
      <x:c r="H151" s="90" t="str">
        <x:v>8895400000000</x:v>
      </x:c>
      <x:c r="I151" s="92" t="n">
        <x:v>8.8954</x:v>
      </x:c>
      <x:c r="J151" s="92" t="str">
        <x:v>8895400000000000000</x:v>
      </x:c>
      <x:c r="K151" s="92" t="n">
        <x:v>8.8954</x:v>
      </x:c>
      <x:c r="L151" s="98" t="str">
        <x:v>PENDING_OWNER_ELIGIBILITY_APPROVAL</x:v>
      </x:c>
      <x:c r="M151" s="98" t="b">
        <x:f>IF(E151="EOA_CANDIDATE",I151&gt;='Decision Summary'!$B$11,FALSE)</x:f>
        <x:v>0</x:v>
      </x:c>
      <x:c r="N151" s="98" t="str">
        <x:f>IF(M151,"DRAFT INCLUDE","HOLD / EXCLUDE")</x:f>
        <x:v>HOLD / EXCLUDE</x:v>
      </x:c>
      <x:c r="O151" s="101" t="str">
        <x:f>IF(M151,C151,"")</x:f>
      </x:c>
      <x:c r="P151" s="98" t="str">
        <x:f>IF(N151="DRAFT INCLUDE",ROUNDUP(COUNTIF($N$6:N151,"DRAFT INCLUDE")/'Decision Summary'!$B$12,0),"")</x:f>
      </x:c>
      <x:c r="Q151" s="98" t="str">
        <x:f>IF(N151="DRAFT INCLUDE",MOD(COUNTIF($N$6:N151,"DRAFT INCLUDE")-1,'Decision Summary'!$B$12)+1,"")</x:f>
      </x:c>
      <x:c r="R151" s="98" t="str">
        <x:v>PENDING</x:v>
      </x:c>
      <x:c r="S151" s="98" t="str"/>
      <x:c r="T151" s="98" t="str">
        <x:v>Ordinary EOA candidate; inclusion still depends on V1 deprecation, threshold policy and owner approval.</x:v>
      </x:c>
      <x:c r="U151" s="89" t="str">
        <x:v>https://etherscan.io/token/0x445d03f499f1c150615957bb87588fb465fc91cc#balances</x:v>
      </x:c>
      <x:c r="V151" s="89" t="b">
        <x:f>COUNTIF($C$6:$C$502,C151)&gt;1</x:f>
        <x:v>0</x:v>
      </x:c>
    </x:row>
    <x:row r="152">
      <x:c r="A152" s="89" t="n">
        <x:v>147</x:v>
      </x:c>
      <x:c r="B152" s="89" t="str">
        <x:v>v1-mainnet-0147</x:v>
      </x:c>
      <x:c r="C152" s="90" t="str">
        <x:v>0x6ad76ce1168fc8d69283c5c565758479c01e6734</x:v>
      </x:c>
      <x:c r="D152" s="98" t="str"/>
      <x:c r="E152" s="98" t="str">
        <x:v>EOA_CANDIDATE</x:v>
      </x:c>
      <x:c r="F152" s="91" t="b">
        <x:v>0</x:v>
      </x:c>
      <x:c r="G152" s="89" t="n">
        <x:v>0</x:v>
      </x:c>
      <x:c r="H152" s="90" t="str">
        <x:v>8883500000000</x:v>
      </x:c>
      <x:c r="I152" s="92" t="n">
        <x:v>8.8835</x:v>
      </x:c>
      <x:c r="J152" s="92" t="str">
        <x:v>8883500000000000000</x:v>
      </x:c>
      <x:c r="K152" s="92" t="n">
        <x:v>8.8835</x:v>
      </x:c>
      <x:c r="L152" s="98" t="str">
        <x:v>PENDING_OWNER_ELIGIBILITY_APPROVAL</x:v>
      </x:c>
      <x:c r="M152" s="98" t="b">
        <x:f>IF(E152="EOA_CANDIDATE",I152&gt;='Decision Summary'!$B$11,FALSE)</x:f>
        <x:v>0</x:v>
      </x:c>
      <x:c r="N152" s="98" t="str">
        <x:f>IF(M152,"DRAFT INCLUDE","HOLD / EXCLUDE")</x:f>
        <x:v>HOLD / EXCLUDE</x:v>
      </x:c>
      <x:c r="O152" s="101" t="str">
        <x:f>IF(M152,C152,"")</x:f>
      </x:c>
      <x:c r="P152" s="98" t="str">
        <x:f>IF(N152="DRAFT INCLUDE",ROUNDUP(COUNTIF($N$6:N152,"DRAFT INCLUDE")/'Decision Summary'!$B$12,0),"")</x:f>
      </x:c>
      <x:c r="Q152" s="98" t="str">
        <x:f>IF(N152="DRAFT INCLUDE",MOD(COUNTIF($N$6:N152,"DRAFT INCLUDE")-1,'Decision Summary'!$B$12)+1,"")</x:f>
      </x:c>
      <x:c r="R152" s="98" t="str">
        <x:v>PENDING</x:v>
      </x:c>
      <x:c r="S152" s="98" t="str"/>
      <x:c r="T152" s="98" t="str">
        <x:v>Ordinary EOA candidate; inclusion still depends on V1 deprecation, threshold policy and owner approval.</x:v>
      </x:c>
      <x:c r="U152" s="89" t="str">
        <x:v>https://etherscan.io/token/0x445d03f499f1c150615957bb87588fb465fc91cc#balances</x:v>
      </x:c>
      <x:c r="V152" s="89" t="b">
        <x:f>COUNTIF($C$6:$C$502,C152)&gt;1</x:f>
        <x:v>0</x:v>
      </x:c>
    </x:row>
    <x:row r="153">
      <x:c r="A153" s="89" t="n">
        <x:v>148</x:v>
      </x:c>
      <x:c r="B153" s="89" t="str">
        <x:v>v1-mainnet-0148</x:v>
      </x:c>
      <x:c r="C153" s="90" t="str">
        <x:v>0x6ea67f6aa31d370f191e7f38f916f11d211aa5ce</x:v>
      </x:c>
      <x:c r="D153" s="98" t="str"/>
      <x:c r="E153" s="98" t="str">
        <x:v>EOA_CANDIDATE</x:v>
      </x:c>
      <x:c r="F153" s="91" t="b">
        <x:v>0</x:v>
      </x:c>
      <x:c r="G153" s="89" t="n">
        <x:v>0</x:v>
      </x:c>
      <x:c r="H153" s="90" t="str">
        <x:v>8871900000000</x:v>
      </x:c>
      <x:c r="I153" s="92" t="n">
        <x:v>8.8719</x:v>
      </x:c>
      <x:c r="J153" s="92" t="str">
        <x:v>8871900000000000000</x:v>
      </x:c>
      <x:c r="K153" s="92" t="n">
        <x:v>8.8719</x:v>
      </x:c>
      <x:c r="L153" s="98" t="str">
        <x:v>PENDING_OWNER_ELIGIBILITY_APPROVAL</x:v>
      </x:c>
      <x:c r="M153" s="98" t="b">
        <x:f>IF(E153="EOA_CANDIDATE",I153&gt;='Decision Summary'!$B$11,FALSE)</x:f>
        <x:v>0</x:v>
      </x:c>
      <x:c r="N153" s="98" t="str">
        <x:f>IF(M153,"DRAFT INCLUDE","HOLD / EXCLUDE")</x:f>
        <x:v>HOLD / EXCLUDE</x:v>
      </x:c>
      <x:c r="O153" s="101" t="str">
        <x:f>IF(M153,C153,"")</x:f>
      </x:c>
      <x:c r="P153" s="98" t="str">
        <x:f>IF(N153="DRAFT INCLUDE",ROUNDUP(COUNTIF($N$6:N153,"DRAFT INCLUDE")/'Decision Summary'!$B$12,0),"")</x:f>
      </x:c>
      <x:c r="Q153" s="98" t="str">
        <x:f>IF(N153="DRAFT INCLUDE",MOD(COUNTIF($N$6:N153,"DRAFT INCLUDE")-1,'Decision Summary'!$B$12)+1,"")</x:f>
      </x:c>
      <x:c r="R153" s="98" t="str">
        <x:v>PENDING</x:v>
      </x:c>
      <x:c r="S153" s="98" t="str"/>
      <x:c r="T153" s="98" t="str">
        <x:v>Ordinary EOA candidate; inclusion still depends on V1 deprecation, threshold policy and owner approval.</x:v>
      </x:c>
      <x:c r="U153" s="89" t="str">
        <x:v>https://etherscan.io/token/0x445d03f499f1c150615957bb87588fb465fc91cc#balances</x:v>
      </x:c>
      <x:c r="V153" s="89" t="b">
        <x:f>COUNTIF($C$6:$C$502,C153)&gt;1</x:f>
        <x:v>0</x:v>
      </x:c>
    </x:row>
    <x:row r="154">
      <x:c r="A154" s="89" t="n">
        <x:v>149</x:v>
      </x:c>
      <x:c r="B154" s="89" t="str">
        <x:v>v1-mainnet-0149</x:v>
      </x:c>
      <x:c r="C154" s="90" t="str">
        <x:v>0x6f3c2aee7b67b461fe99d8b906976e0f85bf18d8</x:v>
      </x:c>
      <x:c r="D154" s="98" t="str"/>
      <x:c r="E154" s="98" t="str">
        <x:v>EOA_CANDIDATE</x:v>
      </x:c>
      <x:c r="F154" s="91" t="b">
        <x:v>0</x:v>
      </x:c>
      <x:c r="G154" s="89" t="n">
        <x:v>0</x:v>
      </x:c>
      <x:c r="H154" s="90" t="str">
        <x:v>8849900000000</x:v>
      </x:c>
      <x:c r="I154" s="92" t="n">
        <x:v>8.8499</x:v>
      </x:c>
      <x:c r="J154" s="92" t="str">
        <x:v>8849900000000000000</x:v>
      </x:c>
      <x:c r="K154" s="92" t="n">
        <x:v>8.8499</x:v>
      </x:c>
      <x:c r="L154" s="98" t="str">
        <x:v>PENDING_OWNER_ELIGIBILITY_APPROVAL</x:v>
      </x:c>
      <x:c r="M154" s="98" t="b">
        <x:f>IF(E154="EOA_CANDIDATE",I154&gt;='Decision Summary'!$B$11,FALSE)</x:f>
        <x:v>0</x:v>
      </x:c>
      <x:c r="N154" s="98" t="str">
        <x:f>IF(M154,"DRAFT INCLUDE","HOLD / EXCLUDE")</x:f>
        <x:v>HOLD / EXCLUDE</x:v>
      </x:c>
      <x:c r="O154" s="101" t="str">
        <x:f>IF(M154,C154,"")</x:f>
      </x:c>
      <x:c r="P154" s="98" t="str">
        <x:f>IF(N154="DRAFT INCLUDE",ROUNDUP(COUNTIF($N$6:N154,"DRAFT INCLUDE")/'Decision Summary'!$B$12,0),"")</x:f>
      </x:c>
      <x:c r="Q154" s="98" t="str">
        <x:f>IF(N154="DRAFT INCLUDE",MOD(COUNTIF($N$6:N154,"DRAFT INCLUDE")-1,'Decision Summary'!$B$12)+1,"")</x:f>
      </x:c>
      <x:c r="R154" s="98" t="str">
        <x:v>PENDING</x:v>
      </x:c>
      <x:c r="S154" s="98" t="str"/>
      <x:c r="T154" s="98" t="str">
        <x:v>Ordinary EOA candidate; inclusion still depends on V1 deprecation, threshold policy and owner approval.</x:v>
      </x:c>
      <x:c r="U154" s="89" t="str">
        <x:v>https://etherscan.io/token/0x445d03f499f1c150615957bb87588fb465fc91cc#balances</x:v>
      </x:c>
      <x:c r="V154" s="89" t="b">
        <x:f>COUNTIF($C$6:$C$502,C154)&gt;1</x:f>
        <x:v>0</x:v>
      </x:c>
    </x:row>
    <x:row r="155">
      <x:c r="A155" s="89" t="n">
        <x:v>150</x:v>
      </x:c>
      <x:c r="B155" s="89" t="str">
        <x:v>v1-mainnet-0150</x:v>
      </x:c>
      <x:c r="C155" s="90" t="str">
        <x:v>0x8f1de543653b3921cb3d6c7088d578414429648d</x:v>
      </x:c>
      <x:c r="D155" s="98" t="str"/>
      <x:c r="E155" s="98" t="str">
        <x:v>EOA_CANDIDATE</x:v>
      </x:c>
      <x:c r="F155" s="91" t="b">
        <x:v>0</x:v>
      </x:c>
      <x:c r="G155" s="89" t="n">
        <x:v>0</x:v>
      </x:c>
      <x:c r="H155" s="90" t="str">
        <x:v>8843600000000</x:v>
      </x:c>
      <x:c r="I155" s="92" t="n">
        <x:v>8.8436</x:v>
      </x:c>
      <x:c r="J155" s="92" t="str">
        <x:v>8843600000000000000</x:v>
      </x:c>
      <x:c r="K155" s="92" t="n">
        <x:v>8.8436</x:v>
      </x:c>
      <x:c r="L155" s="98" t="str">
        <x:v>PENDING_OWNER_ELIGIBILITY_APPROVAL</x:v>
      </x:c>
      <x:c r="M155" s="98" t="b">
        <x:f>IF(E155="EOA_CANDIDATE",I155&gt;='Decision Summary'!$B$11,FALSE)</x:f>
        <x:v>0</x:v>
      </x:c>
      <x:c r="N155" s="98" t="str">
        <x:f>IF(M155,"DRAFT INCLUDE","HOLD / EXCLUDE")</x:f>
        <x:v>HOLD / EXCLUDE</x:v>
      </x:c>
      <x:c r="O155" s="101" t="str">
        <x:f>IF(M155,C155,"")</x:f>
      </x:c>
      <x:c r="P155" s="98" t="str">
        <x:f>IF(N155="DRAFT INCLUDE",ROUNDUP(COUNTIF($N$6:N155,"DRAFT INCLUDE")/'Decision Summary'!$B$12,0),"")</x:f>
      </x:c>
      <x:c r="Q155" s="98" t="str">
        <x:f>IF(N155="DRAFT INCLUDE",MOD(COUNTIF($N$6:N155,"DRAFT INCLUDE")-1,'Decision Summary'!$B$12)+1,"")</x:f>
      </x:c>
      <x:c r="R155" s="98" t="str">
        <x:v>PENDING</x:v>
      </x:c>
      <x:c r="S155" s="98" t="str"/>
      <x:c r="T155" s="98" t="str">
        <x:v>Ordinary EOA candidate; inclusion still depends on V1 deprecation, threshold policy and owner approval.</x:v>
      </x:c>
      <x:c r="U155" s="89" t="str">
        <x:v>https://etherscan.io/token/0x445d03f499f1c150615957bb87588fb465fc91cc#balances</x:v>
      </x:c>
      <x:c r="V155" s="89" t="b">
        <x:f>COUNTIF($C$6:$C$502,C155)&gt;1</x:f>
        <x:v>0</x:v>
      </x:c>
    </x:row>
    <x:row r="156">
      <x:c r="A156" s="89" t="n">
        <x:v>151</x:v>
      </x:c>
      <x:c r="B156" s="89" t="str">
        <x:v>v1-mainnet-0151</x:v>
      </x:c>
      <x:c r="C156" s="90" t="str">
        <x:v>0xff7c0a99d2a036f89268d03159ab7714b0019eb9</x:v>
      </x:c>
      <x:c r="D156" s="98" t="str"/>
      <x:c r="E156" s="98" t="str">
        <x:v>EOA_CANDIDATE</x:v>
      </x:c>
      <x:c r="F156" s="91" t="b">
        <x:v>0</x:v>
      </x:c>
      <x:c r="G156" s="89" t="n">
        <x:v>0</x:v>
      </x:c>
      <x:c r="H156" s="90" t="str">
        <x:v>8825000000000</x:v>
      </x:c>
      <x:c r="I156" s="92" t="n">
        <x:v>8.825</x:v>
      </x:c>
      <x:c r="J156" s="92" t="str">
        <x:v>8825000000000000000</x:v>
      </x:c>
      <x:c r="K156" s="92" t="n">
        <x:v>8.825</x:v>
      </x:c>
      <x:c r="L156" s="98" t="str">
        <x:v>PENDING_OWNER_ELIGIBILITY_APPROVAL</x:v>
      </x:c>
      <x:c r="M156" s="98" t="b">
        <x:f>IF(E156="EOA_CANDIDATE",I156&gt;='Decision Summary'!$B$11,FALSE)</x:f>
        <x:v>0</x:v>
      </x:c>
      <x:c r="N156" s="98" t="str">
        <x:f>IF(M156,"DRAFT INCLUDE","HOLD / EXCLUDE")</x:f>
        <x:v>HOLD / EXCLUDE</x:v>
      </x:c>
      <x:c r="O156" s="101" t="str">
        <x:f>IF(M156,C156,"")</x:f>
      </x:c>
      <x:c r="P156" s="98" t="str">
        <x:f>IF(N156="DRAFT INCLUDE",ROUNDUP(COUNTIF($N$6:N156,"DRAFT INCLUDE")/'Decision Summary'!$B$12,0),"")</x:f>
      </x:c>
      <x:c r="Q156" s="98" t="str">
        <x:f>IF(N156="DRAFT INCLUDE",MOD(COUNTIF($N$6:N156,"DRAFT INCLUDE")-1,'Decision Summary'!$B$12)+1,"")</x:f>
      </x:c>
      <x:c r="R156" s="98" t="str">
        <x:v>PENDING</x:v>
      </x:c>
      <x:c r="S156" s="98" t="str"/>
      <x:c r="T156" s="98" t="str">
        <x:v>Ordinary EOA candidate; inclusion still depends on V1 deprecation, threshold policy and owner approval.</x:v>
      </x:c>
      <x:c r="U156" s="89" t="str">
        <x:v>https://etherscan.io/token/0x445d03f499f1c150615957bb87588fb465fc91cc#balances</x:v>
      </x:c>
      <x:c r="V156" s="89" t="b">
        <x:f>COUNTIF($C$6:$C$502,C156)&gt;1</x:f>
        <x:v>0</x:v>
      </x:c>
    </x:row>
    <x:row r="157">
      <x:c r="A157" s="89" t="n">
        <x:v>152</x:v>
      </x:c>
      <x:c r="B157" s="89" t="str">
        <x:v>v1-mainnet-0152</x:v>
      </x:c>
      <x:c r="C157" s="90" t="str">
        <x:v>0x1bafcd4f2ca53d78b2cec536359e080752bfe592</x:v>
      </x:c>
      <x:c r="D157" s="98" t="str"/>
      <x:c r="E157" s="98" t="str">
        <x:v>EOA_CANDIDATE</x:v>
      </x:c>
      <x:c r="F157" s="91" t="b">
        <x:v>0</x:v>
      </x:c>
      <x:c r="G157" s="89" t="n">
        <x:v>0</x:v>
      </x:c>
      <x:c r="H157" s="90" t="str">
        <x:v>8810800000000</x:v>
      </x:c>
      <x:c r="I157" s="92" t="n">
        <x:v>8.8108</x:v>
      </x:c>
      <x:c r="J157" s="92" t="str">
        <x:v>8810800000000000000</x:v>
      </x:c>
      <x:c r="K157" s="92" t="n">
        <x:v>8.8108</x:v>
      </x:c>
      <x:c r="L157" s="98" t="str">
        <x:v>PENDING_OWNER_ELIGIBILITY_APPROVAL</x:v>
      </x:c>
      <x:c r="M157" s="98" t="b">
        <x:f>IF(E157="EOA_CANDIDATE",I157&gt;='Decision Summary'!$B$11,FALSE)</x:f>
        <x:v>0</x:v>
      </x:c>
      <x:c r="N157" s="98" t="str">
        <x:f>IF(M157,"DRAFT INCLUDE","HOLD / EXCLUDE")</x:f>
        <x:v>HOLD / EXCLUDE</x:v>
      </x:c>
      <x:c r="O157" s="101" t="str">
        <x:f>IF(M157,C157,"")</x:f>
      </x:c>
      <x:c r="P157" s="98" t="str">
        <x:f>IF(N157="DRAFT INCLUDE",ROUNDUP(COUNTIF($N$6:N157,"DRAFT INCLUDE")/'Decision Summary'!$B$12,0),"")</x:f>
      </x:c>
      <x:c r="Q157" s="98" t="str">
        <x:f>IF(N157="DRAFT INCLUDE",MOD(COUNTIF($N$6:N157,"DRAFT INCLUDE")-1,'Decision Summary'!$B$12)+1,"")</x:f>
      </x:c>
      <x:c r="R157" s="98" t="str">
        <x:v>PENDING</x:v>
      </x:c>
      <x:c r="S157" s="98" t="str"/>
      <x:c r="T157" s="98" t="str">
        <x:v>Ordinary EOA candidate; inclusion still depends on V1 deprecation, threshold policy and owner approval.</x:v>
      </x:c>
      <x:c r="U157" s="89" t="str">
        <x:v>https://etherscan.io/token/0x445d03f499f1c150615957bb87588fb465fc91cc#balances</x:v>
      </x:c>
      <x:c r="V157" s="89" t="b">
        <x:f>COUNTIF($C$6:$C$502,C157)&gt;1</x:f>
        <x:v>0</x:v>
      </x:c>
    </x:row>
    <x:row r="158">
      <x:c r="A158" s="89" t="n">
        <x:v>153</x:v>
      </x:c>
      <x:c r="B158" s="89" t="str">
        <x:v>v1-mainnet-0153</x:v>
      </x:c>
      <x:c r="C158" s="90" t="str">
        <x:v>0x60c1e5bec28883efad81992ed90b49a4cfd7d735</x:v>
      </x:c>
      <x:c r="D158" s="98" t="str"/>
      <x:c r="E158" s="98" t="str">
        <x:v>EOA_CANDIDATE</x:v>
      </x:c>
      <x:c r="F158" s="91" t="b">
        <x:v>0</x:v>
      </x:c>
      <x:c r="G158" s="89" t="n">
        <x:v>0</x:v>
      </x:c>
      <x:c r="H158" s="90" t="str">
        <x:v>8802100000000</x:v>
      </x:c>
      <x:c r="I158" s="92" t="n">
        <x:v>8.8021</x:v>
      </x:c>
      <x:c r="J158" s="92" t="str">
        <x:v>8802100000000000000</x:v>
      </x:c>
      <x:c r="K158" s="92" t="n">
        <x:v>8.8021</x:v>
      </x:c>
      <x:c r="L158" s="98" t="str">
        <x:v>PENDING_OWNER_ELIGIBILITY_APPROVAL</x:v>
      </x:c>
      <x:c r="M158" s="98" t="b">
        <x:f>IF(E158="EOA_CANDIDATE",I158&gt;='Decision Summary'!$B$11,FALSE)</x:f>
        <x:v>0</x:v>
      </x:c>
      <x:c r="N158" s="98" t="str">
        <x:f>IF(M158,"DRAFT INCLUDE","HOLD / EXCLUDE")</x:f>
        <x:v>HOLD / EXCLUDE</x:v>
      </x:c>
      <x:c r="O158" s="101" t="str">
        <x:f>IF(M158,C158,"")</x:f>
      </x:c>
      <x:c r="P158" s="98" t="str">
        <x:f>IF(N158="DRAFT INCLUDE",ROUNDUP(COUNTIF($N$6:N158,"DRAFT INCLUDE")/'Decision Summary'!$B$12,0),"")</x:f>
      </x:c>
      <x:c r="Q158" s="98" t="str">
        <x:f>IF(N158="DRAFT INCLUDE",MOD(COUNTIF($N$6:N158,"DRAFT INCLUDE")-1,'Decision Summary'!$B$12)+1,"")</x:f>
      </x:c>
      <x:c r="R158" s="98" t="str">
        <x:v>PENDING</x:v>
      </x:c>
      <x:c r="S158" s="98" t="str"/>
      <x:c r="T158" s="98" t="str">
        <x:v>Ordinary EOA candidate; inclusion still depends on V1 deprecation, threshold policy and owner approval.</x:v>
      </x:c>
      <x:c r="U158" s="89" t="str">
        <x:v>https://etherscan.io/token/0x445d03f499f1c150615957bb87588fb465fc91cc#balances</x:v>
      </x:c>
      <x:c r="V158" s="89" t="b">
        <x:f>COUNTIF($C$6:$C$502,C158)&gt;1</x:f>
        <x:v>0</x:v>
      </x:c>
    </x:row>
    <x:row r="159">
      <x:c r="A159" s="89" t="n">
        <x:v>154</x:v>
      </x:c>
      <x:c r="B159" s="89" t="str">
        <x:v>v1-mainnet-0154</x:v>
      </x:c>
      <x:c r="C159" s="90" t="str">
        <x:v>0x34f30b38fddf56705ae271d6191f77c30bf8008b</x:v>
      </x:c>
      <x:c r="D159" s="98" t="str"/>
      <x:c r="E159" s="98" t="str">
        <x:v>EOA_CANDIDATE</x:v>
      </x:c>
      <x:c r="F159" s="91" t="b">
        <x:v>0</x:v>
      </x:c>
      <x:c r="G159" s="89" t="n">
        <x:v>0</x:v>
      </x:c>
      <x:c r="H159" s="90" t="str">
        <x:v>8781000000000</x:v>
      </x:c>
      <x:c r="I159" s="92" t="n">
        <x:v>8.781</x:v>
      </x:c>
      <x:c r="J159" s="92" t="str">
        <x:v>8781000000000000000</x:v>
      </x:c>
      <x:c r="K159" s="92" t="n">
        <x:v>8.781</x:v>
      </x:c>
      <x:c r="L159" s="98" t="str">
        <x:v>PENDING_OWNER_ELIGIBILITY_APPROVAL</x:v>
      </x:c>
      <x:c r="M159" s="98" t="b">
        <x:f>IF(E159="EOA_CANDIDATE",I159&gt;='Decision Summary'!$B$11,FALSE)</x:f>
        <x:v>0</x:v>
      </x:c>
      <x:c r="N159" s="98" t="str">
        <x:f>IF(M159,"DRAFT INCLUDE","HOLD / EXCLUDE")</x:f>
        <x:v>HOLD / EXCLUDE</x:v>
      </x:c>
      <x:c r="O159" s="101" t="str">
        <x:f>IF(M159,C159,"")</x:f>
      </x:c>
      <x:c r="P159" s="98" t="str">
        <x:f>IF(N159="DRAFT INCLUDE",ROUNDUP(COUNTIF($N$6:N159,"DRAFT INCLUDE")/'Decision Summary'!$B$12,0),"")</x:f>
      </x:c>
      <x:c r="Q159" s="98" t="str">
        <x:f>IF(N159="DRAFT INCLUDE",MOD(COUNTIF($N$6:N159,"DRAFT INCLUDE")-1,'Decision Summary'!$B$12)+1,"")</x:f>
      </x:c>
      <x:c r="R159" s="98" t="str">
        <x:v>PENDING</x:v>
      </x:c>
      <x:c r="S159" s="98" t="str"/>
      <x:c r="T159" s="98" t="str">
        <x:v>Ordinary EOA candidate; inclusion still depends on V1 deprecation, threshold policy and owner approval.</x:v>
      </x:c>
      <x:c r="U159" s="89" t="str">
        <x:v>https://etherscan.io/token/0x445d03f499f1c150615957bb87588fb465fc91cc#balances</x:v>
      </x:c>
      <x:c r="V159" s="89" t="b">
        <x:f>COUNTIF($C$6:$C$502,C159)&gt;1</x:f>
        <x:v>0</x:v>
      </x:c>
    </x:row>
    <x:row r="160">
      <x:c r="A160" s="89" t="n">
        <x:v>155</x:v>
      </x:c>
      <x:c r="B160" s="89" t="str">
        <x:v>v1-mainnet-0155</x:v>
      </x:c>
      <x:c r="C160" s="90" t="str">
        <x:v>0x8fbf27e200b0d55d9f2edff61bcaf66dada644d4</x:v>
      </x:c>
      <x:c r="D160" s="98" t="str"/>
      <x:c r="E160" s="98" t="str">
        <x:v>EOA_CANDIDATE</x:v>
      </x:c>
      <x:c r="F160" s="91" t="b">
        <x:v>0</x:v>
      </x:c>
      <x:c r="G160" s="89" t="n">
        <x:v>0</x:v>
      </x:c>
      <x:c r="H160" s="90" t="str">
        <x:v>8777800000000</x:v>
      </x:c>
      <x:c r="I160" s="92" t="n">
        <x:v>8.7778</x:v>
      </x:c>
      <x:c r="J160" s="92" t="str">
        <x:v>8777800000000000000</x:v>
      </x:c>
      <x:c r="K160" s="92" t="n">
        <x:v>8.7778</x:v>
      </x:c>
      <x:c r="L160" s="98" t="str">
        <x:v>PENDING_OWNER_ELIGIBILITY_APPROVAL</x:v>
      </x:c>
      <x:c r="M160" s="98" t="b">
        <x:f>IF(E160="EOA_CANDIDATE",I160&gt;='Decision Summary'!$B$11,FALSE)</x:f>
        <x:v>0</x:v>
      </x:c>
      <x:c r="N160" s="98" t="str">
        <x:f>IF(M160,"DRAFT INCLUDE","HOLD / EXCLUDE")</x:f>
        <x:v>HOLD / EXCLUDE</x:v>
      </x:c>
      <x:c r="O160" s="101" t="str">
        <x:f>IF(M160,C160,"")</x:f>
      </x:c>
      <x:c r="P160" s="98" t="str">
        <x:f>IF(N160="DRAFT INCLUDE",ROUNDUP(COUNTIF($N$6:N160,"DRAFT INCLUDE")/'Decision Summary'!$B$12,0),"")</x:f>
      </x:c>
      <x:c r="Q160" s="98" t="str">
        <x:f>IF(N160="DRAFT INCLUDE",MOD(COUNTIF($N$6:N160,"DRAFT INCLUDE")-1,'Decision Summary'!$B$12)+1,"")</x:f>
      </x:c>
      <x:c r="R160" s="98" t="str">
        <x:v>PENDING</x:v>
      </x:c>
      <x:c r="S160" s="98" t="str"/>
      <x:c r="T160" s="98" t="str">
        <x:v>Ordinary EOA candidate; inclusion still depends on V1 deprecation, threshold policy and owner approval.</x:v>
      </x:c>
      <x:c r="U160" s="89" t="str">
        <x:v>https://etherscan.io/token/0x445d03f499f1c150615957bb87588fb465fc91cc#balances</x:v>
      </x:c>
      <x:c r="V160" s="89" t="b">
        <x:f>COUNTIF($C$6:$C$502,C160)&gt;1</x:f>
        <x:v>0</x:v>
      </x:c>
    </x:row>
    <x:row r="161">
      <x:c r="A161" s="89" t="n">
        <x:v>156</x:v>
      </x:c>
      <x:c r="B161" s="89" t="str">
        <x:v>v1-mainnet-0156</x:v>
      </x:c>
      <x:c r="C161" s="90" t="str">
        <x:v>0x4d81a311840d9c4706e76b89db51470acedadded</x:v>
      </x:c>
      <x:c r="D161" s="98" t="str"/>
      <x:c r="E161" s="98" t="str">
        <x:v>EOA_CANDIDATE</x:v>
      </x:c>
      <x:c r="F161" s="91" t="b">
        <x:v>0</x:v>
      </x:c>
      <x:c r="G161" s="89" t="n">
        <x:v>0</x:v>
      </x:c>
      <x:c r="H161" s="90" t="str">
        <x:v>8764400000000</x:v>
      </x:c>
      <x:c r="I161" s="92" t="n">
        <x:v>8.7644</x:v>
      </x:c>
      <x:c r="J161" s="92" t="str">
        <x:v>8764400000000000000</x:v>
      </x:c>
      <x:c r="K161" s="92" t="n">
        <x:v>8.7644</x:v>
      </x:c>
      <x:c r="L161" s="98" t="str">
        <x:v>PENDING_OWNER_ELIGIBILITY_APPROVAL</x:v>
      </x:c>
      <x:c r="M161" s="98" t="b">
        <x:f>IF(E161="EOA_CANDIDATE",I161&gt;='Decision Summary'!$B$11,FALSE)</x:f>
        <x:v>0</x:v>
      </x:c>
      <x:c r="N161" s="98" t="str">
        <x:f>IF(M161,"DRAFT INCLUDE","HOLD / EXCLUDE")</x:f>
        <x:v>HOLD / EXCLUDE</x:v>
      </x:c>
      <x:c r="O161" s="101" t="str">
        <x:f>IF(M161,C161,"")</x:f>
      </x:c>
      <x:c r="P161" s="98" t="str">
        <x:f>IF(N161="DRAFT INCLUDE",ROUNDUP(COUNTIF($N$6:N161,"DRAFT INCLUDE")/'Decision Summary'!$B$12,0),"")</x:f>
      </x:c>
      <x:c r="Q161" s="98" t="str">
        <x:f>IF(N161="DRAFT INCLUDE",MOD(COUNTIF($N$6:N161,"DRAFT INCLUDE")-1,'Decision Summary'!$B$12)+1,"")</x:f>
      </x:c>
      <x:c r="R161" s="98" t="str">
        <x:v>PENDING</x:v>
      </x:c>
      <x:c r="S161" s="98" t="str"/>
      <x:c r="T161" s="98" t="str">
        <x:v>Ordinary EOA candidate; inclusion still depends on V1 deprecation, threshold policy and owner approval.</x:v>
      </x:c>
      <x:c r="U161" s="89" t="str">
        <x:v>https://etherscan.io/token/0x445d03f499f1c150615957bb87588fb465fc91cc#balances</x:v>
      </x:c>
      <x:c r="V161" s="89" t="b">
        <x:f>COUNTIF($C$6:$C$502,C161)&gt;1</x:f>
        <x:v>0</x:v>
      </x:c>
    </x:row>
    <x:row r="162">
      <x:c r="A162" s="89" t="n">
        <x:v>157</x:v>
      </x:c>
      <x:c r="B162" s="89" t="str">
        <x:v>v1-mainnet-0157</x:v>
      </x:c>
      <x:c r="C162" s="90" t="str">
        <x:v>0x6d234f5f4248bf3df615069f8bbb9dddb8119f90</x:v>
      </x:c>
      <x:c r="D162" s="98" t="str"/>
      <x:c r="E162" s="98" t="str">
        <x:v>EOA_CANDIDATE</x:v>
      </x:c>
      <x:c r="F162" s="91" t="b">
        <x:v>0</x:v>
      </x:c>
      <x:c r="G162" s="89" t="n">
        <x:v>0</x:v>
      </x:c>
      <x:c r="H162" s="90" t="str">
        <x:v>8761100000000</x:v>
      </x:c>
      <x:c r="I162" s="92" t="n">
        <x:v>8.7611</x:v>
      </x:c>
      <x:c r="J162" s="92" t="str">
        <x:v>8761100000000000000</x:v>
      </x:c>
      <x:c r="K162" s="92" t="n">
        <x:v>8.7611</x:v>
      </x:c>
      <x:c r="L162" s="98" t="str">
        <x:v>PENDING_OWNER_ELIGIBILITY_APPROVAL</x:v>
      </x:c>
      <x:c r="M162" s="98" t="b">
        <x:f>IF(E162="EOA_CANDIDATE",I162&gt;='Decision Summary'!$B$11,FALSE)</x:f>
        <x:v>0</x:v>
      </x:c>
      <x:c r="N162" s="98" t="str">
        <x:f>IF(M162,"DRAFT INCLUDE","HOLD / EXCLUDE")</x:f>
        <x:v>HOLD / EXCLUDE</x:v>
      </x:c>
      <x:c r="O162" s="101" t="str">
        <x:f>IF(M162,C162,"")</x:f>
      </x:c>
      <x:c r="P162" s="98" t="str">
        <x:f>IF(N162="DRAFT INCLUDE",ROUNDUP(COUNTIF($N$6:N162,"DRAFT INCLUDE")/'Decision Summary'!$B$12,0),"")</x:f>
      </x:c>
      <x:c r="Q162" s="98" t="str">
        <x:f>IF(N162="DRAFT INCLUDE",MOD(COUNTIF($N$6:N162,"DRAFT INCLUDE")-1,'Decision Summary'!$B$12)+1,"")</x:f>
      </x:c>
      <x:c r="R162" s="98" t="str">
        <x:v>PENDING</x:v>
      </x:c>
      <x:c r="S162" s="98" t="str"/>
      <x:c r="T162" s="98" t="str">
        <x:v>Ordinary EOA candidate; inclusion still depends on V1 deprecation, threshold policy and owner approval.</x:v>
      </x:c>
      <x:c r="U162" s="89" t="str">
        <x:v>https://etherscan.io/token/0x445d03f499f1c150615957bb87588fb465fc91cc#balances</x:v>
      </x:c>
      <x:c r="V162" s="89" t="b">
        <x:f>COUNTIF($C$6:$C$502,C162)&gt;1</x:f>
        <x:v>0</x:v>
      </x:c>
    </x:row>
    <x:row r="163">
      <x:c r="A163" s="89" t="n">
        <x:v>158</x:v>
      </x:c>
      <x:c r="B163" s="89" t="str">
        <x:v>v1-mainnet-0158</x:v>
      </x:c>
      <x:c r="C163" s="90" t="str">
        <x:v>0x47567067ca76b8bf06c4e81b2c888af94eec29de</x:v>
      </x:c>
      <x:c r="D163" s="98" t="str"/>
      <x:c r="E163" s="98" t="str">
        <x:v>EOA_CANDIDATE</x:v>
      </x:c>
      <x:c r="F163" s="91" t="b">
        <x:v>0</x:v>
      </x:c>
      <x:c r="G163" s="89" t="n">
        <x:v>0</x:v>
      </x:c>
      <x:c r="H163" s="90" t="str">
        <x:v>8745500000000</x:v>
      </x:c>
      <x:c r="I163" s="92" t="n">
        <x:v>8.7455</x:v>
      </x:c>
      <x:c r="J163" s="92" t="str">
        <x:v>8745500000000000000</x:v>
      </x:c>
      <x:c r="K163" s="92" t="n">
        <x:v>8.7455</x:v>
      </x:c>
      <x:c r="L163" s="98" t="str">
        <x:v>PENDING_OWNER_ELIGIBILITY_APPROVAL</x:v>
      </x:c>
      <x:c r="M163" s="98" t="b">
        <x:f>IF(E163="EOA_CANDIDATE",I163&gt;='Decision Summary'!$B$11,FALSE)</x:f>
        <x:v>0</x:v>
      </x:c>
      <x:c r="N163" s="98" t="str">
        <x:f>IF(M163,"DRAFT INCLUDE","HOLD / EXCLUDE")</x:f>
        <x:v>HOLD / EXCLUDE</x:v>
      </x:c>
      <x:c r="O163" s="101" t="str">
        <x:f>IF(M163,C163,"")</x:f>
      </x:c>
      <x:c r="P163" s="98" t="str">
        <x:f>IF(N163="DRAFT INCLUDE",ROUNDUP(COUNTIF($N$6:N163,"DRAFT INCLUDE")/'Decision Summary'!$B$12,0),"")</x:f>
      </x:c>
      <x:c r="Q163" s="98" t="str">
        <x:f>IF(N163="DRAFT INCLUDE",MOD(COUNTIF($N$6:N163,"DRAFT INCLUDE")-1,'Decision Summary'!$B$12)+1,"")</x:f>
      </x:c>
      <x:c r="R163" s="98" t="str">
        <x:v>PENDING</x:v>
      </x:c>
      <x:c r="S163" s="98" t="str"/>
      <x:c r="T163" s="98" t="str">
        <x:v>Ordinary EOA candidate; inclusion still depends on V1 deprecation, threshold policy and owner approval.</x:v>
      </x:c>
      <x:c r="U163" s="89" t="str">
        <x:v>https://etherscan.io/token/0x445d03f499f1c150615957bb87588fb465fc91cc#balances</x:v>
      </x:c>
      <x:c r="V163" s="89" t="b">
        <x:f>COUNTIF($C$6:$C$502,C163)&gt;1</x:f>
        <x:v>0</x:v>
      </x:c>
    </x:row>
    <x:row r="164">
      <x:c r="A164" s="89" t="n">
        <x:v>159</x:v>
      </x:c>
      <x:c r="B164" s="89" t="str">
        <x:v>v1-mainnet-0159</x:v>
      </x:c>
      <x:c r="C164" s="90" t="str">
        <x:v>0x35e09f6523f7ffd9bd1e00132f4469f57bef5974</x:v>
      </x:c>
      <x:c r="D164" s="98" t="str"/>
      <x:c r="E164" s="98" t="str">
        <x:v>EOA_CANDIDATE</x:v>
      </x:c>
      <x:c r="F164" s="91" t="b">
        <x:v>0</x:v>
      </x:c>
      <x:c r="G164" s="89" t="n">
        <x:v>0</x:v>
      </x:c>
      <x:c r="H164" s="90" t="str">
        <x:v>8714000000000</x:v>
      </x:c>
      <x:c r="I164" s="92" t="n">
        <x:v>8.714</x:v>
      </x:c>
      <x:c r="J164" s="92" t="str">
        <x:v>8714000000000000000</x:v>
      </x:c>
      <x:c r="K164" s="92" t="n">
        <x:v>8.714</x:v>
      </x:c>
      <x:c r="L164" s="98" t="str">
        <x:v>PENDING_OWNER_ELIGIBILITY_APPROVAL</x:v>
      </x:c>
      <x:c r="M164" s="98" t="b">
        <x:f>IF(E164="EOA_CANDIDATE",I164&gt;='Decision Summary'!$B$11,FALSE)</x:f>
        <x:v>0</x:v>
      </x:c>
      <x:c r="N164" s="98" t="str">
        <x:f>IF(M164,"DRAFT INCLUDE","HOLD / EXCLUDE")</x:f>
        <x:v>HOLD / EXCLUDE</x:v>
      </x:c>
      <x:c r="O164" s="101" t="str">
        <x:f>IF(M164,C164,"")</x:f>
      </x:c>
      <x:c r="P164" s="98" t="str">
        <x:f>IF(N164="DRAFT INCLUDE",ROUNDUP(COUNTIF($N$6:N164,"DRAFT INCLUDE")/'Decision Summary'!$B$12,0),"")</x:f>
      </x:c>
      <x:c r="Q164" s="98" t="str">
        <x:f>IF(N164="DRAFT INCLUDE",MOD(COUNTIF($N$6:N164,"DRAFT INCLUDE")-1,'Decision Summary'!$B$12)+1,"")</x:f>
      </x:c>
      <x:c r="R164" s="98" t="str">
        <x:v>PENDING</x:v>
      </x:c>
      <x:c r="S164" s="98" t="str"/>
      <x:c r="T164" s="98" t="str">
        <x:v>Ordinary EOA candidate; inclusion still depends on V1 deprecation, threshold policy and owner approval.</x:v>
      </x:c>
      <x:c r="U164" s="89" t="str">
        <x:v>https://etherscan.io/token/0x445d03f499f1c150615957bb87588fb465fc91cc#balances</x:v>
      </x:c>
      <x:c r="V164" s="89" t="b">
        <x:f>COUNTIF($C$6:$C$502,C164)&gt;1</x:f>
        <x:v>0</x:v>
      </x:c>
    </x:row>
    <x:row r="165">
      <x:c r="A165" s="89" t="n">
        <x:v>160</x:v>
      </x:c>
      <x:c r="B165" s="89" t="str">
        <x:v>v1-mainnet-0160</x:v>
      </x:c>
      <x:c r="C165" s="90" t="str">
        <x:v>0x0dc39d1cc49c7b0868882bb284f19b30b7a4e716</x:v>
      </x:c>
      <x:c r="D165" s="98" t="str"/>
      <x:c r="E165" s="98" t="str">
        <x:v>EOA_CANDIDATE</x:v>
      </x:c>
      <x:c r="F165" s="91" t="b">
        <x:v>0</x:v>
      </x:c>
      <x:c r="G165" s="89" t="n">
        <x:v>0</x:v>
      </x:c>
      <x:c r="H165" s="90" t="str">
        <x:v>8708400000000</x:v>
      </x:c>
      <x:c r="I165" s="92" t="n">
        <x:v>8.7084</x:v>
      </x:c>
      <x:c r="J165" s="92" t="str">
        <x:v>8708400000000000000</x:v>
      </x:c>
      <x:c r="K165" s="92" t="n">
        <x:v>8.7084</x:v>
      </x:c>
      <x:c r="L165" s="98" t="str">
        <x:v>PENDING_OWNER_ELIGIBILITY_APPROVAL</x:v>
      </x:c>
      <x:c r="M165" s="98" t="b">
        <x:f>IF(E165="EOA_CANDIDATE",I165&gt;='Decision Summary'!$B$11,FALSE)</x:f>
        <x:v>0</x:v>
      </x:c>
      <x:c r="N165" s="98" t="str">
        <x:f>IF(M165,"DRAFT INCLUDE","HOLD / EXCLUDE")</x:f>
        <x:v>HOLD / EXCLUDE</x:v>
      </x:c>
      <x:c r="O165" s="101" t="str">
        <x:f>IF(M165,C165,"")</x:f>
      </x:c>
      <x:c r="P165" s="98" t="str">
        <x:f>IF(N165="DRAFT INCLUDE",ROUNDUP(COUNTIF($N$6:N165,"DRAFT INCLUDE")/'Decision Summary'!$B$12,0),"")</x:f>
      </x:c>
      <x:c r="Q165" s="98" t="str">
        <x:f>IF(N165="DRAFT INCLUDE",MOD(COUNTIF($N$6:N165,"DRAFT INCLUDE")-1,'Decision Summary'!$B$12)+1,"")</x:f>
      </x:c>
      <x:c r="R165" s="98" t="str">
        <x:v>PENDING</x:v>
      </x:c>
      <x:c r="S165" s="98" t="str"/>
      <x:c r="T165" s="98" t="str">
        <x:v>Ordinary EOA candidate; inclusion still depends on V1 deprecation, threshold policy and owner approval.</x:v>
      </x:c>
      <x:c r="U165" s="89" t="str">
        <x:v>https://etherscan.io/token/0x445d03f499f1c150615957bb87588fb465fc91cc#balances</x:v>
      </x:c>
      <x:c r="V165" s="89" t="b">
        <x:f>COUNTIF($C$6:$C$502,C165)&gt;1</x:f>
        <x:v>0</x:v>
      </x:c>
    </x:row>
    <x:row r="166">
      <x:c r="A166" s="89" t="n">
        <x:v>161</x:v>
      </x:c>
      <x:c r="B166" s="89" t="str">
        <x:v>v1-mainnet-0161</x:v>
      </x:c>
      <x:c r="C166" s="90" t="str">
        <x:v>0x31241296b46368ab3dbc0ae1a54ae5af1764b9f5</x:v>
      </x:c>
      <x:c r="D166" s="98" t="str"/>
      <x:c r="E166" s="98" t="str">
        <x:v>EOA_CANDIDATE</x:v>
      </x:c>
      <x:c r="F166" s="91" t="b">
        <x:v>0</x:v>
      </x:c>
      <x:c r="G166" s="89" t="n">
        <x:v>0</x:v>
      </x:c>
      <x:c r="H166" s="90" t="str">
        <x:v>8660700000000</x:v>
      </x:c>
      <x:c r="I166" s="92" t="n">
        <x:v>8.6607</x:v>
      </x:c>
      <x:c r="J166" s="92" t="str">
        <x:v>8660700000000000000</x:v>
      </x:c>
      <x:c r="K166" s="92" t="n">
        <x:v>8.6607</x:v>
      </x:c>
      <x:c r="L166" s="98" t="str">
        <x:v>PENDING_OWNER_ELIGIBILITY_APPROVAL</x:v>
      </x:c>
      <x:c r="M166" s="98" t="b">
        <x:f>IF(E166="EOA_CANDIDATE",I166&gt;='Decision Summary'!$B$11,FALSE)</x:f>
        <x:v>0</x:v>
      </x:c>
      <x:c r="N166" s="98" t="str">
        <x:f>IF(M166,"DRAFT INCLUDE","HOLD / EXCLUDE")</x:f>
        <x:v>HOLD / EXCLUDE</x:v>
      </x:c>
      <x:c r="O166" s="101" t="str">
        <x:f>IF(M166,C166,"")</x:f>
      </x:c>
      <x:c r="P166" s="98" t="str">
        <x:f>IF(N166="DRAFT INCLUDE",ROUNDUP(COUNTIF($N$6:N166,"DRAFT INCLUDE")/'Decision Summary'!$B$12,0),"")</x:f>
      </x:c>
      <x:c r="Q166" s="98" t="str">
        <x:f>IF(N166="DRAFT INCLUDE",MOD(COUNTIF($N$6:N166,"DRAFT INCLUDE")-1,'Decision Summary'!$B$12)+1,"")</x:f>
      </x:c>
      <x:c r="R166" s="98" t="str">
        <x:v>PENDING</x:v>
      </x:c>
      <x:c r="S166" s="98" t="str"/>
      <x:c r="T166" s="98" t="str">
        <x:v>Ordinary EOA candidate; inclusion still depends on V1 deprecation, threshold policy and owner approval.</x:v>
      </x:c>
      <x:c r="U166" s="89" t="str">
        <x:v>https://etherscan.io/token/0x445d03f499f1c150615957bb87588fb465fc91cc#balances</x:v>
      </x:c>
      <x:c r="V166" s="89" t="b">
        <x:f>COUNTIF($C$6:$C$502,C166)&gt;1</x:f>
        <x:v>0</x:v>
      </x:c>
    </x:row>
    <x:row r="167">
      <x:c r="A167" s="89" t="n">
        <x:v>162</x:v>
      </x:c>
      <x:c r="B167" s="89" t="str">
        <x:v>v1-mainnet-0162</x:v>
      </x:c>
      <x:c r="C167" s="90" t="str">
        <x:v>0x70fe7b79d85789ff9e6c26d7eaa05b8ca913ad4f</x:v>
      </x:c>
      <x:c r="D167" s="98" t="str"/>
      <x:c r="E167" s="98" t="str">
        <x:v>EOA_CANDIDATE</x:v>
      </x:c>
      <x:c r="F167" s="91" t="b">
        <x:v>0</x:v>
      </x:c>
      <x:c r="G167" s="89" t="n">
        <x:v>0</x:v>
      </x:c>
      <x:c r="H167" s="90" t="str">
        <x:v>8655500000000</x:v>
      </x:c>
      <x:c r="I167" s="92" t="n">
        <x:v>8.6555</x:v>
      </x:c>
      <x:c r="J167" s="92" t="str">
        <x:v>8655500000000000000</x:v>
      </x:c>
      <x:c r="K167" s="92" t="n">
        <x:v>8.6555</x:v>
      </x:c>
      <x:c r="L167" s="98" t="str">
        <x:v>PENDING_OWNER_ELIGIBILITY_APPROVAL</x:v>
      </x:c>
      <x:c r="M167" s="98" t="b">
        <x:f>IF(E167="EOA_CANDIDATE",I167&gt;='Decision Summary'!$B$11,FALSE)</x:f>
        <x:v>0</x:v>
      </x:c>
      <x:c r="N167" s="98" t="str">
        <x:f>IF(M167,"DRAFT INCLUDE","HOLD / EXCLUDE")</x:f>
        <x:v>HOLD / EXCLUDE</x:v>
      </x:c>
      <x:c r="O167" s="101" t="str">
        <x:f>IF(M167,C167,"")</x:f>
      </x:c>
      <x:c r="P167" s="98" t="str">
        <x:f>IF(N167="DRAFT INCLUDE",ROUNDUP(COUNTIF($N$6:N167,"DRAFT INCLUDE")/'Decision Summary'!$B$12,0),"")</x:f>
      </x:c>
      <x:c r="Q167" s="98" t="str">
        <x:f>IF(N167="DRAFT INCLUDE",MOD(COUNTIF($N$6:N167,"DRAFT INCLUDE")-1,'Decision Summary'!$B$12)+1,"")</x:f>
      </x:c>
      <x:c r="R167" s="98" t="str">
        <x:v>PENDING</x:v>
      </x:c>
      <x:c r="S167" s="98" t="str"/>
      <x:c r="T167" s="98" t="str">
        <x:v>Ordinary EOA candidate; inclusion still depends on V1 deprecation, threshold policy and owner approval.</x:v>
      </x:c>
      <x:c r="U167" s="89" t="str">
        <x:v>https://etherscan.io/token/0x445d03f499f1c150615957bb87588fb465fc91cc#balances</x:v>
      </x:c>
      <x:c r="V167" s="89" t="b">
        <x:f>COUNTIF($C$6:$C$502,C167)&gt;1</x:f>
        <x:v>0</x:v>
      </x:c>
    </x:row>
    <x:row r="168">
      <x:c r="A168" s="89" t="n">
        <x:v>163</x:v>
      </x:c>
      <x:c r="B168" s="89" t="str">
        <x:v>v1-mainnet-0163</x:v>
      </x:c>
      <x:c r="C168" s="90" t="str">
        <x:v>0x562e239e49a7d05cd2fb2b7eef021ba6b39ee2e7</x:v>
      </x:c>
      <x:c r="D168" s="98" t="str"/>
      <x:c r="E168" s="98" t="str">
        <x:v>EOA_CANDIDATE</x:v>
      </x:c>
      <x:c r="F168" s="91" t="b">
        <x:v>0</x:v>
      </x:c>
      <x:c r="G168" s="89" t="n">
        <x:v>0</x:v>
      </x:c>
      <x:c r="H168" s="90" t="str">
        <x:v>8651600000000</x:v>
      </x:c>
      <x:c r="I168" s="92" t="n">
        <x:v>8.6516</x:v>
      </x:c>
      <x:c r="J168" s="92" t="str">
        <x:v>8651600000000000000</x:v>
      </x:c>
      <x:c r="K168" s="92" t="n">
        <x:v>8.6516</x:v>
      </x:c>
      <x:c r="L168" s="98" t="str">
        <x:v>PENDING_OWNER_ELIGIBILITY_APPROVAL</x:v>
      </x:c>
      <x:c r="M168" s="98" t="b">
        <x:f>IF(E168="EOA_CANDIDATE",I168&gt;='Decision Summary'!$B$11,FALSE)</x:f>
        <x:v>0</x:v>
      </x:c>
      <x:c r="N168" s="98" t="str">
        <x:f>IF(M168,"DRAFT INCLUDE","HOLD / EXCLUDE")</x:f>
        <x:v>HOLD / EXCLUDE</x:v>
      </x:c>
      <x:c r="O168" s="101" t="str">
        <x:f>IF(M168,C168,"")</x:f>
      </x:c>
      <x:c r="P168" s="98" t="str">
        <x:f>IF(N168="DRAFT INCLUDE",ROUNDUP(COUNTIF($N$6:N168,"DRAFT INCLUDE")/'Decision Summary'!$B$12,0),"")</x:f>
      </x:c>
      <x:c r="Q168" s="98" t="str">
        <x:f>IF(N168="DRAFT INCLUDE",MOD(COUNTIF($N$6:N168,"DRAFT INCLUDE")-1,'Decision Summary'!$B$12)+1,"")</x:f>
      </x:c>
      <x:c r="R168" s="98" t="str">
        <x:v>PENDING</x:v>
      </x:c>
      <x:c r="S168" s="98" t="str"/>
      <x:c r="T168" s="98" t="str">
        <x:v>Ordinary EOA candidate; inclusion still depends on V1 deprecation, threshold policy and owner approval.</x:v>
      </x:c>
      <x:c r="U168" s="89" t="str">
        <x:v>https://etherscan.io/token/0x445d03f499f1c150615957bb87588fb465fc91cc#balances</x:v>
      </x:c>
      <x:c r="V168" s="89" t="b">
        <x:f>COUNTIF($C$6:$C$502,C168)&gt;1</x:f>
        <x:v>0</x:v>
      </x:c>
    </x:row>
    <x:row r="169">
      <x:c r="A169" s="89" t="n">
        <x:v>164</x:v>
      </x:c>
      <x:c r="B169" s="89" t="str">
        <x:v>v1-mainnet-0164</x:v>
      </x:c>
      <x:c r="C169" s="90" t="str">
        <x:v>0x10b1b47af2935725416da9f1bf36de358f37a170</x:v>
      </x:c>
      <x:c r="D169" s="98" t="str"/>
      <x:c r="E169" s="98" t="str">
        <x:v>EOA_CANDIDATE</x:v>
      </x:c>
      <x:c r="F169" s="91" t="b">
        <x:v>0</x:v>
      </x:c>
      <x:c r="G169" s="89" t="n">
        <x:v>0</x:v>
      </x:c>
      <x:c r="H169" s="90" t="str">
        <x:v>8635600000000</x:v>
      </x:c>
      <x:c r="I169" s="92" t="n">
        <x:v>8.6356</x:v>
      </x:c>
      <x:c r="J169" s="92" t="str">
        <x:v>8635600000000000000</x:v>
      </x:c>
      <x:c r="K169" s="92" t="n">
        <x:v>8.6356</x:v>
      </x:c>
      <x:c r="L169" s="98" t="str">
        <x:v>PENDING_OWNER_ELIGIBILITY_APPROVAL</x:v>
      </x:c>
      <x:c r="M169" s="98" t="b">
        <x:f>IF(E169="EOA_CANDIDATE",I169&gt;='Decision Summary'!$B$11,FALSE)</x:f>
        <x:v>0</x:v>
      </x:c>
      <x:c r="N169" s="98" t="str">
        <x:f>IF(M169,"DRAFT INCLUDE","HOLD / EXCLUDE")</x:f>
        <x:v>HOLD / EXCLUDE</x:v>
      </x:c>
      <x:c r="O169" s="101" t="str">
        <x:f>IF(M169,C169,"")</x:f>
      </x:c>
      <x:c r="P169" s="98" t="str">
        <x:f>IF(N169="DRAFT INCLUDE",ROUNDUP(COUNTIF($N$6:N169,"DRAFT INCLUDE")/'Decision Summary'!$B$12,0),"")</x:f>
      </x:c>
      <x:c r="Q169" s="98" t="str">
        <x:f>IF(N169="DRAFT INCLUDE",MOD(COUNTIF($N$6:N169,"DRAFT INCLUDE")-1,'Decision Summary'!$B$12)+1,"")</x:f>
      </x:c>
      <x:c r="R169" s="98" t="str">
        <x:v>PENDING</x:v>
      </x:c>
      <x:c r="S169" s="98" t="str"/>
      <x:c r="T169" s="98" t="str">
        <x:v>Ordinary EOA candidate; inclusion still depends on V1 deprecation, threshold policy and owner approval.</x:v>
      </x:c>
      <x:c r="U169" s="89" t="str">
        <x:v>https://etherscan.io/token/0x445d03f499f1c150615957bb87588fb465fc91cc#balances</x:v>
      </x:c>
      <x:c r="V169" s="89" t="b">
        <x:f>COUNTIF($C$6:$C$502,C169)&gt;1</x:f>
        <x:v>0</x:v>
      </x:c>
    </x:row>
    <x:row r="170">
      <x:c r="A170" s="89" t="n">
        <x:v>165</x:v>
      </x:c>
      <x:c r="B170" s="89" t="str">
        <x:v>v1-mainnet-0165</x:v>
      </x:c>
      <x:c r="C170" s="90" t="str">
        <x:v>0xae2cec759185f6ffd91462c4da5937ad2120ef1f</x:v>
      </x:c>
      <x:c r="D170" s="98" t="str"/>
      <x:c r="E170" s="98" t="str">
        <x:v>EOA_CANDIDATE</x:v>
      </x:c>
      <x:c r="F170" s="91" t="b">
        <x:v>0</x:v>
      </x:c>
      <x:c r="G170" s="89" t="n">
        <x:v>0</x:v>
      </x:c>
      <x:c r="H170" s="90" t="str">
        <x:v>8627000000000</x:v>
      </x:c>
      <x:c r="I170" s="92" t="n">
        <x:v>8.627</x:v>
      </x:c>
      <x:c r="J170" s="92" t="str">
        <x:v>8627000000000000000</x:v>
      </x:c>
      <x:c r="K170" s="92" t="n">
        <x:v>8.627</x:v>
      </x:c>
      <x:c r="L170" s="98" t="str">
        <x:v>PENDING_OWNER_ELIGIBILITY_APPROVAL</x:v>
      </x:c>
      <x:c r="M170" s="98" t="b">
        <x:f>IF(E170="EOA_CANDIDATE",I170&gt;='Decision Summary'!$B$11,FALSE)</x:f>
        <x:v>0</x:v>
      </x:c>
      <x:c r="N170" s="98" t="str">
        <x:f>IF(M170,"DRAFT INCLUDE","HOLD / EXCLUDE")</x:f>
        <x:v>HOLD / EXCLUDE</x:v>
      </x:c>
      <x:c r="O170" s="101" t="str">
        <x:f>IF(M170,C170,"")</x:f>
      </x:c>
      <x:c r="P170" s="98" t="str">
        <x:f>IF(N170="DRAFT INCLUDE",ROUNDUP(COUNTIF($N$6:N170,"DRAFT INCLUDE")/'Decision Summary'!$B$12,0),"")</x:f>
      </x:c>
      <x:c r="Q170" s="98" t="str">
        <x:f>IF(N170="DRAFT INCLUDE",MOD(COUNTIF($N$6:N170,"DRAFT INCLUDE")-1,'Decision Summary'!$B$12)+1,"")</x:f>
      </x:c>
      <x:c r="R170" s="98" t="str">
        <x:v>PENDING</x:v>
      </x:c>
      <x:c r="S170" s="98" t="str"/>
      <x:c r="T170" s="98" t="str">
        <x:v>Ordinary EOA candidate; inclusion still depends on V1 deprecation, threshold policy and owner approval.</x:v>
      </x:c>
      <x:c r="U170" s="89" t="str">
        <x:v>https://etherscan.io/token/0x445d03f499f1c150615957bb87588fb465fc91cc#balances</x:v>
      </x:c>
      <x:c r="V170" s="89" t="b">
        <x:f>COUNTIF($C$6:$C$502,C170)&gt;1</x:f>
        <x:v>0</x:v>
      </x:c>
    </x:row>
    <x:row r="171">
      <x:c r="A171" s="89" t="n">
        <x:v>166</x:v>
      </x:c>
      <x:c r="B171" s="89" t="str">
        <x:v>v1-mainnet-0166</x:v>
      </x:c>
      <x:c r="C171" s="90" t="str">
        <x:v>0x7c2d1fe76f61e37dd76ad663080b8f6b87c1cd45</x:v>
      </x:c>
      <x:c r="D171" s="98" t="str"/>
      <x:c r="E171" s="98" t="str">
        <x:v>EOA_CANDIDATE</x:v>
      </x:c>
      <x:c r="F171" s="91" t="b">
        <x:v>0</x:v>
      </x:c>
      <x:c r="G171" s="89" t="n">
        <x:v>0</x:v>
      </x:c>
      <x:c r="H171" s="90" t="str">
        <x:v>8571300000000</x:v>
      </x:c>
      <x:c r="I171" s="92" t="n">
        <x:v>8.5713</x:v>
      </x:c>
      <x:c r="J171" s="92" t="str">
        <x:v>8571300000000000000</x:v>
      </x:c>
      <x:c r="K171" s="92" t="n">
        <x:v>8.5713</x:v>
      </x:c>
      <x:c r="L171" s="98" t="str">
        <x:v>PENDING_OWNER_ELIGIBILITY_APPROVAL</x:v>
      </x:c>
      <x:c r="M171" s="98" t="b">
        <x:f>IF(E171="EOA_CANDIDATE",I171&gt;='Decision Summary'!$B$11,FALSE)</x:f>
        <x:v>0</x:v>
      </x:c>
      <x:c r="N171" s="98" t="str">
        <x:f>IF(M171,"DRAFT INCLUDE","HOLD / EXCLUDE")</x:f>
        <x:v>HOLD / EXCLUDE</x:v>
      </x:c>
      <x:c r="O171" s="101" t="str">
        <x:f>IF(M171,C171,"")</x:f>
      </x:c>
      <x:c r="P171" s="98" t="str">
        <x:f>IF(N171="DRAFT INCLUDE",ROUNDUP(COUNTIF($N$6:N171,"DRAFT INCLUDE")/'Decision Summary'!$B$12,0),"")</x:f>
      </x:c>
      <x:c r="Q171" s="98" t="str">
        <x:f>IF(N171="DRAFT INCLUDE",MOD(COUNTIF($N$6:N171,"DRAFT INCLUDE")-1,'Decision Summary'!$B$12)+1,"")</x:f>
      </x:c>
      <x:c r="R171" s="98" t="str">
        <x:v>PENDING</x:v>
      </x:c>
      <x:c r="S171" s="98" t="str"/>
      <x:c r="T171" s="98" t="str">
        <x:v>Ordinary EOA candidate; inclusion still depends on V1 deprecation, threshold policy and owner approval.</x:v>
      </x:c>
      <x:c r="U171" s="89" t="str">
        <x:v>https://etherscan.io/token/0x445d03f499f1c150615957bb87588fb465fc91cc#balances</x:v>
      </x:c>
      <x:c r="V171" s="89" t="b">
        <x:f>COUNTIF($C$6:$C$502,C171)&gt;1</x:f>
        <x:v>0</x:v>
      </x:c>
    </x:row>
    <x:row r="172">
      <x:c r="A172" s="89" t="n">
        <x:v>167</x:v>
      </x:c>
      <x:c r="B172" s="89" t="str">
        <x:v>v1-mainnet-0167</x:v>
      </x:c>
      <x:c r="C172" s="90" t="str">
        <x:v>0xc71d19f26dc1f2782b4c4f624b89cf903fe14cc4</x:v>
      </x:c>
      <x:c r="D172" s="98" t="str"/>
      <x:c r="E172" s="98" t="str">
        <x:v>EOA_CANDIDATE</x:v>
      </x:c>
      <x:c r="F172" s="91" t="b">
        <x:v>0</x:v>
      </x:c>
      <x:c r="G172" s="89" t="n">
        <x:v>0</x:v>
      </x:c>
      <x:c r="H172" s="90" t="str">
        <x:v>8539700000000</x:v>
      </x:c>
      <x:c r="I172" s="92" t="n">
        <x:v>8.5397</x:v>
      </x:c>
      <x:c r="J172" s="92" t="str">
        <x:v>8539700000000000000</x:v>
      </x:c>
      <x:c r="K172" s="92" t="n">
        <x:v>8.5397</x:v>
      </x:c>
      <x:c r="L172" s="98" t="str">
        <x:v>PENDING_OWNER_ELIGIBILITY_APPROVAL</x:v>
      </x:c>
      <x:c r="M172" s="98" t="b">
        <x:f>IF(E172="EOA_CANDIDATE",I172&gt;='Decision Summary'!$B$11,FALSE)</x:f>
        <x:v>0</x:v>
      </x:c>
      <x:c r="N172" s="98" t="str">
        <x:f>IF(M172,"DRAFT INCLUDE","HOLD / EXCLUDE")</x:f>
        <x:v>HOLD / EXCLUDE</x:v>
      </x:c>
      <x:c r="O172" s="101" t="str">
        <x:f>IF(M172,C172,"")</x:f>
      </x:c>
      <x:c r="P172" s="98" t="str">
        <x:f>IF(N172="DRAFT INCLUDE",ROUNDUP(COUNTIF($N$6:N172,"DRAFT INCLUDE")/'Decision Summary'!$B$12,0),"")</x:f>
      </x:c>
      <x:c r="Q172" s="98" t="str">
        <x:f>IF(N172="DRAFT INCLUDE",MOD(COUNTIF($N$6:N172,"DRAFT INCLUDE")-1,'Decision Summary'!$B$12)+1,"")</x:f>
      </x:c>
      <x:c r="R172" s="98" t="str">
        <x:v>PENDING</x:v>
      </x:c>
      <x:c r="S172" s="98" t="str"/>
      <x:c r="T172" s="98" t="str">
        <x:v>Ordinary EOA candidate; inclusion still depends on V1 deprecation, threshold policy and owner approval.</x:v>
      </x:c>
      <x:c r="U172" s="89" t="str">
        <x:v>https://etherscan.io/token/0x445d03f499f1c150615957bb87588fb465fc91cc#balances</x:v>
      </x:c>
      <x:c r="V172" s="89" t="b">
        <x:f>COUNTIF($C$6:$C$502,C172)&gt;1</x:f>
        <x:v>0</x:v>
      </x:c>
    </x:row>
    <x:row r="173">
      <x:c r="A173" s="89" t="n">
        <x:v>168</x:v>
      </x:c>
      <x:c r="B173" s="89" t="str">
        <x:v>v1-mainnet-0168</x:v>
      </x:c>
      <x:c r="C173" s="90" t="str">
        <x:v>0x2d4d9cd53ed809199ccc3d08a3537f508a821b9b</x:v>
      </x:c>
      <x:c r="D173" s="98" t="str"/>
      <x:c r="E173" s="98" t="str">
        <x:v>EOA_CANDIDATE</x:v>
      </x:c>
      <x:c r="F173" s="91" t="b">
        <x:v>0</x:v>
      </x:c>
      <x:c r="G173" s="89" t="n">
        <x:v>0</x:v>
      </x:c>
      <x:c r="H173" s="90" t="str">
        <x:v>8529500000000</x:v>
      </x:c>
      <x:c r="I173" s="92" t="n">
        <x:v>8.5295</x:v>
      </x:c>
      <x:c r="J173" s="92" t="str">
        <x:v>8529500000000000000</x:v>
      </x:c>
      <x:c r="K173" s="92" t="n">
        <x:v>8.5295</x:v>
      </x:c>
      <x:c r="L173" s="98" t="str">
        <x:v>PENDING_OWNER_ELIGIBILITY_APPROVAL</x:v>
      </x:c>
      <x:c r="M173" s="98" t="b">
        <x:f>IF(E173="EOA_CANDIDATE",I173&gt;='Decision Summary'!$B$11,FALSE)</x:f>
        <x:v>0</x:v>
      </x:c>
      <x:c r="N173" s="98" t="str">
        <x:f>IF(M173,"DRAFT INCLUDE","HOLD / EXCLUDE")</x:f>
        <x:v>HOLD / EXCLUDE</x:v>
      </x:c>
      <x:c r="O173" s="101" t="str">
        <x:f>IF(M173,C173,"")</x:f>
      </x:c>
      <x:c r="P173" s="98" t="str">
        <x:f>IF(N173="DRAFT INCLUDE",ROUNDUP(COUNTIF($N$6:N173,"DRAFT INCLUDE")/'Decision Summary'!$B$12,0),"")</x:f>
      </x:c>
      <x:c r="Q173" s="98" t="str">
        <x:f>IF(N173="DRAFT INCLUDE",MOD(COUNTIF($N$6:N173,"DRAFT INCLUDE")-1,'Decision Summary'!$B$12)+1,"")</x:f>
      </x:c>
      <x:c r="R173" s="98" t="str">
        <x:v>PENDING</x:v>
      </x:c>
      <x:c r="S173" s="98" t="str"/>
      <x:c r="T173" s="98" t="str">
        <x:v>Ordinary EOA candidate; inclusion still depends on V1 deprecation, threshold policy and owner approval.</x:v>
      </x:c>
      <x:c r="U173" s="89" t="str">
        <x:v>https://etherscan.io/token/0x445d03f499f1c150615957bb87588fb465fc91cc#balances</x:v>
      </x:c>
      <x:c r="V173" s="89" t="b">
        <x:f>COUNTIF($C$6:$C$502,C173)&gt;1</x:f>
        <x:v>0</x:v>
      </x:c>
    </x:row>
    <x:row r="174">
      <x:c r="A174" s="89" t="n">
        <x:v>169</x:v>
      </x:c>
      <x:c r="B174" s="89" t="str">
        <x:v>v1-mainnet-0169</x:v>
      </x:c>
      <x:c r="C174" s="90" t="str">
        <x:v>0xf3fe25fb687b547578fb52a44568dc992fac4d71</x:v>
      </x:c>
      <x:c r="D174" s="98" t="str"/>
      <x:c r="E174" s="98" t="str">
        <x:v>EOA_CANDIDATE</x:v>
      </x:c>
      <x:c r="F174" s="91" t="b">
        <x:v>0</x:v>
      </x:c>
      <x:c r="G174" s="89" t="n">
        <x:v>0</x:v>
      </x:c>
      <x:c r="H174" s="90" t="str">
        <x:v>8507100000000</x:v>
      </x:c>
      <x:c r="I174" s="92" t="n">
        <x:v>8.5071</x:v>
      </x:c>
      <x:c r="J174" s="92" t="str">
        <x:v>8507100000000000000</x:v>
      </x:c>
      <x:c r="K174" s="92" t="n">
        <x:v>8.5071</x:v>
      </x:c>
      <x:c r="L174" s="98" t="str">
        <x:v>PENDING_OWNER_ELIGIBILITY_APPROVAL</x:v>
      </x:c>
      <x:c r="M174" s="98" t="b">
        <x:f>IF(E174="EOA_CANDIDATE",I174&gt;='Decision Summary'!$B$11,FALSE)</x:f>
        <x:v>0</x:v>
      </x:c>
      <x:c r="N174" s="98" t="str">
        <x:f>IF(M174,"DRAFT INCLUDE","HOLD / EXCLUDE")</x:f>
        <x:v>HOLD / EXCLUDE</x:v>
      </x:c>
      <x:c r="O174" s="101" t="str">
        <x:f>IF(M174,C174,"")</x:f>
      </x:c>
      <x:c r="P174" s="98" t="str">
        <x:f>IF(N174="DRAFT INCLUDE",ROUNDUP(COUNTIF($N$6:N174,"DRAFT INCLUDE")/'Decision Summary'!$B$12,0),"")</x:f>
      </x:c>
      <x:c r="Q174" s="98" t="str">
        <x:f>IF(N174="DRAFT INCLUDE",MOD(COUNTIF($N$6:N174,"DRAFT INCLUDE")-1,'Decision Summary'!$B$12)+1,"")</x:f>
      </x:c>
      <x:c r="R174" s="98" t="str">
        <x:v>PENDING</x:v>
      </x:c>
      <x:c r="S174" s="98" t="str"/>
      <x:c r="T174" s="98" t="str">
        <x:v>Ordinary EOA candidate; inclusion still depends on V1 deprecation, threshold policy and owner approval.</x:v>
      </x:c>
      <x:c r="U174" s="89" t="str">
        <x:v>https://etherscan.io/token/0x445d03f499f1c150615957bb87588fb465fc91cc#balances</x:v>
      </x:c>
      <x:c r="V174" s="89" t="b">
        <x:f>COUNTIF($C$6:$C$502,C174)&gt;1</x:f>
        <x:v>0</x:v>
      </x:c>
    </x:row>
    <x:row r="175">
      <x:c r="A175" s="89" t="n">
        <x:v>170</x:v>
      </x:c>
      <x:c r="B175" s="89" t="str">
        <x:v>v1-mainnet-0170</x:v>
      </x:c>
      <x:c r="C175" s="90" t="str">
        <x:v>0xacd2757fd4793a684fa050af943759109b5aadb6</x:v>
      </x:c>
      <x:c r="D175" s="98" t="str"/>
      <x:c r="E175" s="98" t="str">
        <x:v>EOA_CANDIDATE</x:v>
      </x:c>
      <x:c r="F175" s="91" t="b">
        <x:v>0</x:v>
      </x:c>
      <x:c r="G175" s="89" t="n">
        <x:v>0</x:v>
      </x:c>
      <x:c r="H175" s="90" t="str">
        <x:v>8503500000000</x:v>
      </x:c>
      <x:c r="I175" s="92" t="n">
        <x:v>8.5035</x:v>
      </x:c>
      <x:c r="J175" s="92" t="str">
        <x:v>8503500000000000000</x:v>
      </x:c>
      <x:c r="K175" s="92" t="n">
        <x:v>8.5035</x:v>
      </x:c>
      <x:c r="L175" s="98" t="str">
        <x:v>PENDING_OWNER_ELIGIBILITY_APPROVAL</x:v>
      </x:c>
      <x:c r="M175" s="98" t="b">
        <x:f>IF(E175="EOA_CANDIDATE",I175&gt;='Decision Summary'!$B$11,FALSE)</x:f>
        <x:v>0</x:v>
      </x:c>
      <x:c r="N175" s="98" t="str">
        <x:f>IF(M175,"DRAFT INCLUDE","HOLD / EXCLUDE")</x:f>
        <x:v>HOLD / EXCLUDE</x:v>
      </x:c>
      <x:c r="O175" s="101" t="str">
        <x:f>IF(M175,C175,"")</x:f>
      </x:c>
      <x:c r="P175" s="98" t="str">
        <x:f>IF(N175="DRAFT INCLUDE",ROUNDUP(COUNTIF($N$6:N175,"DRAFT INCLUDE")/'Decision Summary'!$B$12,0),"")</x:f>
      </x:c>
      <x:c r="Q175" s="98" t="str">
        <x:f>IF(N175="DRAFT INCLUDE",MOD(COUNTIF($N$6:N175,"DRAFT INCLUDE")-1,'Decision Summary'!$B$12)+1,"")</x:f>
      </x:c>
      <x:c r="R175" s="98" t="str">
        <x:v>PENDING</x:v>
      </x:c>
      <x:c r="S175" s="98" t="str"/>
      <x:c r="T175" s="98" t="str">
        <x:v>Ordinary EOA candidate; inclusion still depends on V1 deprecation, threshold policy and owner approval.</x:v>
      </x:c>
      <x:c r="U175" s="89" t="str">
        <x:v>https://etherscan.io/token/0x445d03f499f1c150615957bb87588fb465fc91cc#balances</x:v>
      </x:c>
      <x:c r="V175" s="89" t="b">
        <x:f>COUNTIF($C$6:$C$502,C175)&gt;1</x:f>
        <x:v>0</x:v>
      </x:c>
    </x:row>
    <x:row r="176">
      <x:c r="A176" s="89" t="n">
        <x:v>171</x:v>
      </x:c>
      <x:c r="B176" s="89" t="str">
        <x:v>v1-mainnet-0171</x:v>
      </x:c>
      <x:c r="C176" s="90" t="str">
        <x:v>0xf2192a221c0199ea818878f83fdf525303bce34c</x:v>
      </x:c>
      <x:c r="D176" s="98" t="str"/>
      <x:c r="E176" s="98" t="str">
        <x:v>EOA_CANDIDATE</x:v>
      </x:c>
      <x:c r="F176" s="91" t="b">
        <x:v>0</x:v>
      </x:c>
      <x:c r="G176" s="89" t="n">
        <x:v>0</x:v>
      </x:c>
      <x:c r="H176" s="90" t="str">
        <x:v>8432800000000</x:v>
      </x:c>
      <x:c r="I176" s="92" t="n">
        <x:v>8.4328</x:v>
      </x:c>
      <x:c r="J176" s="92" t="str">
        <x:v>8432800000000000000</x:v>
      </x:c>
      <x:c r="K176" s="92" t="n">
        <x:v>8.4328</x:v>
      </x:c>
      <x:c r="L176" s="98" t="str">
        <x:v>PENDING_OWNER_ELIGIBILITY_APPROVAL</x:v>
      </x:c>
      <x:c r="M176" s="98" t="b">
        <x:f>IF(E176="EOA_CANDIDATE",I176&gt;='Decision Summary'!$B$11,FALSE)</x:f>
        <x:v>0</x:v>
      </x:c>
      <x:c r="N176" s="98" t="str">
        <x:f>IF(M176,"DRAFT INCLUDE","HOLD / EXCLUDE")</x:f>
        <x:v>HOLD / EXCLUDE</x:v>
      </x:c>
      <x:c r="O176" s="101" t="str">
        <x:f>IF(M176,C176,"")</x:f>
      </x:c>
      <x:c r="P176" s="98" t="str">
        <x:f>IF(N176="DRAFT INCLUDE",ROUNDUP(COUNTIF($N$6:N176,"DRAFT INCLUDE")/'Decision Summary'!$B$12,0),"")</x:f>
      </x:c>
      <x:c r="Q176" s="98" t="str">
        <x:f>IF(N176="DRAFT INCLUDE",MOD(COUNTIF($N$6:N176,"DRAFT INCLUDE")-1,'Decision Summary'!$B$12)+1,"")</x:f>
      </x:c>
      <x:c r="R176" s="98" t="str">
        <x:v>PENDING</x:v>
      </x:c>
      <x:c r="S176" s="98" t="str"/>
      <x:c r="T176" s="98" t="str">
        <x:v>Ordinary EOA candidate; inclusion still depends on V1 deprecation, threshold policy and owner approval.</x:v>
      </x:c>
      <x:c r="U176" s="89" t="str">
        <x:v>https://etherscan.io/token/0x445d03f499f1c150615957bb87588fb465fc91cc#balances</x:v>
      </x:c>
      <x:c r="V176" s="89" t="b">
        <x:f>COUNTIF($C$6:$C$502,C176)&gt;1</x:f>
        <x:v>0</x:v>
      </x:c>
    </x:row>
    <x:row r="177">
      <x:c r="A177" s="89" t="n">
        <x:v>172</x:v>
      </x:c>
      <x:c r="B177" s="89" t="str">
        <x:v>v1-mainnet-0172</x:v>
      </x:c>
      <x:c r="C177" s="90" t="str">
        <x:v>0x92a6623ec1d20ff8980fc882a267b0059fb64a86</x:v>
      </x:c>
      <x:c r="D177" s="98" t="str"/>
      <x:c r="E177" s="98" t="str">
        <x:v>EOA_CANDIDATE</x:v>
      </x:c>
      <x:c r="F177" s="91" t="b">
        <x:v>0</x:v>
      </x:c>
      <x:c r="G177" s="89" t="n">
        <x:v>0</x:v>
      </x:c>
      <x:c r="H177" s="90" t="str">
        <x:v>8429700000000</x:v>
      </x:c>
      <x:c r="I177" s="92" t="n">
        <x:v>8.4297</x:v>
      </x:c>
      <x:c r="J177" s="92" t="str">
        <x:v>8429700000000000000</x:v>
      </x:c>
      <x:c r="K177" s="92" t="n">
        <x:v>8.4297</x:v>
      </x:c>
      <x:c r="L177" s="98" t="str">
        <x:v>PENDING_OWNER_ELIGIBILITY_APPROVAL</x:v>
      </x:c>
      <x:c r="M177" s="98" t="b">
        <x:f>IF(E177="EOA_CANDIDATE",I177&gt;='Decision Summary'!$B$11,FALSE)</x:f>
        <x:v>0</x:v>
      </x:c>
      <x:c r="N177" s="98" t="str">
        <x:f>IF(M177,"DRAFT INCLUDE","HOLD / EXCLUDE")</x:f>
        <x:v>HOLD / EXCLUDE</x:v>
      </x:c>
      <x:c r="O177" s="101" t="str">
        <x:f>IF(M177,C177,"")</x:f>
      </x:c>
      <x:c r="P177" s="98" t="str">
        <x:f>IF(N177="DRAFT INCLUDE",ROUNDUP(COUNTIF($N$6:N177,"DRAFT INCLUDE")/'Decision Summary'!$B$12,0),"")</x:f>
      </x:c>
      <x:c r="Q177" s="98" t="str">
        <x:f>IF(N177="DRAFT INCLUDE",MOD(COUNTIF($N$6:N177,"DRAFT INCLUDE")-1,'Decision Summary'!$B$12)+1,"")</x:f>
      </x:c>
      <x:c r="R177" s="98" t="str">
        <x:v>PENDING</x:v>
      </x:c>
      <x:c r="S177" s="98" t="str"/>
      <x:c r="T177" s="98" t="str">
        <x:v>Ordinary EOA candidate; inclusion still depends on V1 deprecation, threshold policy and owner approval.</x:v>
      </x:c>
      <x:c r="U177" s="89" t="str">
        <x:v>https://etherscan.io/token/0x445d03f499f1c150615957bb87588fb465fc91cc#balances</x:v>
      </x:c>
      <x:c r="V177" s="89" t="b">
        <x:f>COUNTIF($C$6:$C$502,C177)&gt;1</x:f>
        <x:v>0</x:v>
      </x:c>
    </x:row>
    <x:row r="178">
      <x:c r="A178" s="89" t="n">
        <x:v>173</x:v>
      </x:c>
      <x:c r="B178" s="89" t="str">
        <x:v>v1-mainnet-0173</x:v>
      </x:c>
      <x:c r="C178" s="90" t="str">
        <x:v>0xc22109c59dfb49fddf6aa158761cdd8140a8bee5</x:v>
      </x:c>
      <x:c r="D178" s="98" t="str"/>
      <x:c r="E178" s="98" t="str">
        <x:v>EOA_CANDIDATE</x:v>
      </x:c>
      <x:c r="F178" s="91" t="b">
        <x:v>0</x:v>
      </x:c>
      <x:c r="G178" s="89" t="n">
        <x:v>0</x:v>
      </x:c>
      <x:c r="H178" s="90" t="str">
        <x:v>8425100000000</x:v>
      </x:c>
      <x:c r="I178" s="92" t="n">
        <x:v>8.4251</x:v>
      </x:c>
      <x:c r="J178" s="92" t="str">
        <x:v>8425100000000000000</x:v>
      </x:c>
      <x:c r="K178" s="92" t="n">
        <x:v>8.4251</x:v>
      </x:c>
      <x:c r="L178" s="98" t="str">
        <x:v>PENDING_OWNER_ELIGIBILITY_APPROVAL</x:v>
      </x:c>
      <x:c r="M178" s="98" t="b">
        <x:f>IF(E178="EOA_CANDIDATE",I178&gt;='Decision Summary'!$B$11,FALSE)</x:f>
        <x:v>0</x:v>
      </x:c>
      <x:c r="N178" s="98" t="str">
        <x:f>IF(M178,"DRAFT INCLUDE","HOLD / EXCLUDE")</x:f>
        <x:v>HOLD / EXCLUDE</x:v>
      </x:c>
      <x:c r="O178" s="101" t="str">
        <x:f>IF(M178,C178,"")</x:f>
      </x:c>
      <x:c r="P178" s="98" t="str">
        <x:f>IF(N178="DRAFT INCLUDE",ROUNDUP(COUNTIF($N$6:N178,"DRAFT INCLUDE")/'Decision Summary'!$B$12,0),"")</x:f>
      </x:c>
      <x:c r="Q178" s="98" t="str">
        <x:f>IF(N178="DRAFT INCLUDE",MOD(COUNTIF($N$6:N178,"DRAFT INCLUDE")-1,'Decision Summary'!$B$12)+1,"")</x:f>
      </x:c>
      <x:c r="R178" s="98" t="str">
        <x:v>PENDING</x:v>
      </x:c>
      <x:c r="S178" s="98" t="str"/>
      <x:c r="T178" s="98" t="str">
        <x:v>Ordinary EOA candidate; inclusion still depends on V1 deprecation, threshold policy and owner approval.</x:v>
      </x:c>
      <x:c r="U178" s="89" t="str">
        <x:v>https://etherscan.io/token/0x445d03f499f1c150615957bb87588fb465fc91cc#balances</x:v>
      </x:c>
      <x:c r="V178" s="89" t="b">
        <x:f>COUNTIF($C$6:$C$502,C178)&gt;1</x:f>
        <x:v>0</x:v>
      </x:c>
    </x:row>
    <x:row r="179">
      <x:c r="A179" s="89" t="n">
        <x:v>174</x:v>
      </x:c>
      <x:c r="B179" s="89" t="str">
        <x:v>v1-mainnet-0174</x:v>
      </x:c>
      <x:c r="C179" s="90" t="str">
        <x:v>0x6cde93d74709999fb1b4dfa12821f24db65cd675</x:v>
      </x:c>
      <x:c r="D179" s="98" t="str"/>
      <x:c r="E179" s="98" t="str">
        <x:v>EOA_CANDIDATE</x:v>
      </x:c>
      <x:c r="F179" s="91" t="b">
        <x:v>0</x:v>
      </x:c>
      <x:c r="G179" s="89" t="n">
        <x:v>0</x:v>
      </x:c>
      <x:c r="H179" s="90" t="str">
        <x:v>8417400000000</x:v>
      </x:c>
      <x:c r="I179" s="92" t="n">
        <x:v>8.4174</x:v>
      </x:c>
      <x:c r="J179" s="92" t="str">
        <x:v>8417400000000000000</x:v>
      </x:c>
      <x:c r="K179" s="92" t="n">
        <x:v>8.4174</x:v>
      </x:c>
      <x:c r="L179" s="98" t="str">
        <x:v>PENDING_OWNER_ELIGIBILITY_APPROVAL</x:v>
      </x:c>
      <x:c r="M179" s="98" t="b">
        <x:f>IF(E179="EOA_CANDIDATE",I179&gt;='Decision Summary'!$B$11,FALSE)</x:f>
        <x:v>0</x:v>
      </x:c>
      <x:c r="N179" s="98" t="str">
        <x:f>IF(M179,"DRAFT INCLUDE","HOLD / EXCLUDE")</x:f>
        <x:v>HOLD / EXCLUDE</x:v>
      </x:c>
      <x:c r="O179" s="101" t="str">
        <x:f>IF(M179,C179,"")</x:f>
      </x:c>
      <x:c r="P179" s="98" t="str">
        <x:f>IF(N179="DRAFT INCLUDE",ROUNDUP(COUNTIF($N$6:N179,"DRAFT INCLUDE")/'Decision Summary'!$B$12,0),"")</x:f>
      </x:c>
      <x:c r="Q179" s="98" t="str">
        <x:f>IF(N179="DRAFT INCLUDE",MOD(COUNTIF($N$6:N179,"DRAFT INCLUDE")-1,'Decision Summary'!$B$12)+1,"")</x:f>
      </x:c>
      <x:c r="R179" s="98" t="str">
        <x:v>PENDING</x:v>
      </x:c>
      <x:c r="S179" s="98" t="str"/>
      <x:c r="T179" s="98" t="str">
        <x:v>Ordinary EOA candidate; inclusion still depends on V1 deprecation, threshold policy and owner approval.</x:v>
      </x:c>
      <x:c r="U179" s="89" t="str">
        <x:v>https://etherscan.io/token/0x445d03f499f1c150615957bb87588fb465fc91cc#balances</x:v>
      </x:c>
      <x:c r="V179" s="89" t="b">
        <x:f>COUNTIF($C$6:$C$502,C179)&gt;1</x:f>
        <x:v>0</x:v>
      </x:c>
    </x:row>
    <x:row r="180">
      <x:c r="A180" s="89" t="n">
        <x:v>175</x:v>
      </x:c>
      <x:c r="B180" s="89" t="str">
        <x:v>v1-mainnet-0175</x:v>
      </x:c>
      <x:c r="C180" s="90" t="str">
        <x:v>0xe1b0372213407b350871e955173643ac31a5f8f3</x:v>
      </x:c>
      <x:c r="D180" s="98" t="str"/>
      <x:c r="E180" s="98" t="str">
        <x:v>EOA_CANDIDATE</x:v>
      </x:c>
      <x:c r="F180" s="91" t="b">
        <x:v>0</x:v>
      </x:c>
      <x:c r="G180" s="89" t="n">
        <x:v>0</x:v>
      </x:c>
      <x:c r="H180" s="90" t="str">
        <x:v>8412400000000</x:v>
      </x:c>
      <x:c r="I180" s="92" t="n">
        <x:v>8.4124</x:v>
      </x:c>
      <x:c r="J180" s="92" t="str">
        <x:v>8412400000000000000</x:v>
      </x:c>
      <x:c r="K180" s="92" t="n">
        <x:v>8.4124</x:v>
      </x:c>
      <x:c r="L180" s="98" t="str">
        <x:v>PENDING_OWNER_ELIGIBILITY_APPROVAL</x:v>
      </x:c>
      <x:c r="M180" s="98" t="b">
        <x:f>IF(E180="EOA_CANDIDATE",I180&gt;='Decision Summary'!$B$11,FALSE)</x:f>
        <x:v>0</x:v>
      </x:c>
      <x:c r="N180" s="98" t="str">
        <x:f>IF(M180,"DRAFT INCLUDE","HOLD / EXCLUDE")</x:f>
        <x:v>HOLD / EXCLUDE</x:v>
      </x:c>
      <x:c r="O180" s="101" t="str">
        <x:f>IF(M180,C180,"")</x:f>
      </x:c>
      <x:c r="P180" s="98" t="str">
        <x:f>IF(N180="DRAFT INCLUDE",ROUNDUP(COUNTIF($N$6:N180,"DRAFT INCLUDE")/'Decision Summary'!$B$12,0),"")</x:f>
      </x:c>
      <x:c r="Q180" s="98" t="str">
        <x:f>IF(N180="DRAFT INCLUDE",MOD(COUNTIF($N$6:N180,"DRAFT INCLUDE")-1,'Decision Summary'!$B$12)+1,"")</x:f>
      </x:c>
      <x:c r="R180" s="98" t="str">
        <x:v>PENDING</x:v>
      </x:c>
      <x:c r="S180" s="98" t="str"/>
      <x:c r="T180" s="98" t="str">
        <x:v>Ordinary EOA candidate; inclusion still depends on V1 deprecation, threshold policy and owner approval.</x:v>
      </x:c>
      <x:c r="U180" s="89" t="str">
        <x:v>https://etherscan.io/token/0x445d03f499f1c150615957bb87588fb465fc91cc#balances</x:v>
      </x:c>
      <x:c r="V180" s="89" t="b">
        <x:f>COUNTIF($C$6:$C$502,C180)&gt;1</x:f>
        <x:v>0</x:v>
      </x:c>
    </x:row>
    <x:row r="181">
      <x:c r="A181" s="89" t="n">
        <x:v>176</x:v>
      </x:c>
      <x:c r="B181" s="89" t="str">
        <x:v>v1-mainnet-0176</x:v>
      </x:c>
      <x:c r="C181" s="90" t="str">
        <x:v>0xb2d626aacc864be509446c874a73e408c929782e</x:v>
      </x:c>
      <x:c r="D181" s="98" t="str"/>
      <x:c r="E181" s="98" t="str">
        <x:v>EOA_CANDIDATE</x:v>
      </x:c>
      <x:c r="F181" s="91" t="b">
        <x:v>0</x:v>
      </x:c>
      <x:c r="G181" s="89" t="n">
        <x:v>0</x:v>
      </x:c>
      <x:c r="H181" s="90" t="str">
        <x:v>8412100000000</x:v>
      </x:c>
      <x:c r="I181" s="92" t="n">
        <x:v>8.4121</x:v>
      </x:c>
      <x:c r="J181" s="92" t="str">
        <x:v>8412100000000000000</x:v>
      </x:c>
      <x:c r="K181" s="92" t="n">
        <x:v>8.4121</x:v>
      </x:c>
      <x:c r="L181" s="98" t="str">
        <x:v>PENDING_OWNER_ELIGIBILITY_APPROVAL</x:v>
      </x:c>
      <x:c r="M181" s="98" t="b">
        <x:f>IF(E181="EOA_CANDIDATE",I181&gt;='Decision Summary'!$B$11,FALSE)</x:f>
        <x:v>0</x:v>
      </x:c>
      <x:c r="N181" s="98" t="str">
        <x:f>IF(M181,"DRAFT INCLUDE","HOLD / EXCLUDE")</x:f>
        <x:v>HOLD / EXCLUDE</x:v>
      </x:c>
      <x:c r="O181" s="101" t="str">
        <x:f>IF(M181,C181,"")</x:f>
      </x:c>
      <x:c r="P181" s="98" t="str">
        <x:f>IF(N181="DRAFT INCLUDE",ROUNDUP(COUNTIF($N$6:N181,"DRAFT INCLUDE")/'Decision Summary'!$B$12,0),"")</x:f>
      </x:c>
      <x:c r="Q181" s="98" t="str">
        <x:f>IF(N181="DRAFT INCLUDE",MOD(COUNTIF($N$6:N181,"DRAFT INCLUDE")-1,'Decision Summary'!$B$12)+1,"")</x:f>
      </x:c>
      <x:c r="R181" s="98" t="str">
        <x:v>PENDING</x:v>
      </x:c>
      <x:c r="S181" s="98" t="str"/>
      <x:c r="T181" s="98" t="str">
        <x:v>Ordinary EOA candidate; inclusion still depends on V1 deprecation, threshold policy and owner approval.</x:v>
      </x:c>
      <x:c r="U181" s="89" t="str">
        <x:v>https://etherscan.io/token/0x445d03f499f1c150615957bb87588fb465fc91cc#balances</x:v>
      </x:c>
      <x:c r="V181" s="89" t="b">
        <x:f>COUNTIF($C$6:$C$502,C181)&gt;1</x:f>
        <x:v>0</x:v>
      </x:c>
    </x:row>
    <x:row r="182">
      <x:c r="A182" s="89" t="n">
        <x:v>177</x:v>
      </x:c>
      <x:c r="B182" s="89" t="str">
        <x:v>v1-mainnet-0177</x:v>
      </x:c>
      <x:c r="C182" s="90" t="str">
        <x:v>0x2ba6fa1db1023d07a74c81c7151b5098e59b8c5a</x:v>
      </x:c>
      <x:c r="D182" s="98" t="str"/>
      <x:c r="E182" s="98" t="str">
        <x:v>EOA_CANDIDATE</x:v>
      </x:c>
      <x:c r="F182" s="91" t="b">
        <x:v>0</x:v>
      </x:c>
      <x:c r="G182" s="89" t="n">
        <x:v>0</x:v>
      </x:c>
      <x:c r="H182" s="90" t="str">
        <x:v>8411400000000</x:v>
      </x:c>
      <x:c r="I182" s="92" t="n">
        <x:v>8.4114</x:v>
      </x:c>
      <x:c r="J182" s="92" t="str">
        <x:v>8411400000000000000</x:v>
      </x:c>
      <x:c r="K182" s="92" t="n">
        <x:v>8.4114</x:v>
      </x:c>
      <x:c r="L182" s="98" t="str">
        <x:v>PENDING_OWNER_ELIGIBILITY_APPROVAL</x:v>
      </x:c>
      <x:c r="M182" s="98" t="b">
        <x:f>IF(E182="EOA_CANDIDATE",I182&gt;='Decision Summary'!$B$11,FALSE)</x:f>
        <x:v>0</x:v>
      </x:c>
      <x:c r="N182" s="98" t="str">
        <x:f>IF(M182,"DRAFT INCLUDE","HOLD / EXCLUDE")</x:f>
        <x:v>HOLD / EXCLUDE</x:v>
      </x:c>
      <x:c r="O182" s="101" t="str">
        <x:f>IF(M182,C182,"")</x:f>
      </x:c>
      <x:c r="P182" s="98" t="str">
        <x:f>IF(N182="DRAFT INCLUDE",ROUNDUP(COUNTIF($N$6:N182,"DRAFT INCLUDE")/'Decision Summary'!$B$12,0),"")</x:f>
      </x:c>
      <x:c r="Q182" s="98" t="str">
        <x:f>IF(N182="DRAFT INCLUDE",MOD(COUNTIF($N$6:N182,"DRAFT INCLUDE")-1,'Decision Summary'!$B$12)+1,"")</x:f>
      </x:c>
      <x:c r="R182" s="98" t="str">
        <x:v>PENDING</x:v>
      </x:c>
      <x:c r="S182" s="98" t="str"/>
      <x:c r="T182" s="98" t="str">
        <x:v>Ordinary EOA candidate; inclusion still depends on V1 deprecation, threshold policy and owner approval.</x:v>
      </x:c>
      <x:c r="U182" s="89" t="str">
        <x:v>https://etherscan.io/token/0x445d03f499f1c150615957bb87588fb465fc91cc#balances</x:v>
      </x:c>
      <x:c r="V182" s="89" t="b">
        <x:f>COUNTIF($C$6:$C$502,C182)&gt;1</x:f>
        <x:v>0</x:v>
      </x:c>
    </x:row>
    <x:row r="183">
      <x:c r="A183" s="89" t="n">
        <x:v>178</x:v>
      </x:c>
      <x:c r="B183" s="89" t="str">
        <x:v>v1-mainnet-0178</x:v>
      </x:c>
      <x:c r="C183" s="90" t="str">
        <x:v>0x8a838d7426cea8a2c9e95e041e38f3f2279c74fb</x:v>
      </x:c>
      <x:c r="D183" s="98" t="str"/>
      <x:c r="E183" s="98" t="str">
        <x:v>EOA_CANDIDATE</x:v>
      </x:c>
      <x:c r="F183" s="91" t="b">
        <x:v>0</x:v>
      </x:c>
      <x:c r="G183" s="89" t="n">
        <x:v>0</x:v>
      </x:c>
      <x:c r="H183" s="90" t="str">
        <x:v>8395800000000</x:v>
      </x:c>
      <x:c r="I183" s="92" t="n">
        <x:v>8.3958</x:v>
      </x:c>
      <x:c r="J183" s="92" t="str">
        <x:v>8395800000000000000</x:v>
      </x:c>
      <x:c r="K183" s="92" t="n">
        <x:v>8.3958</x:v>
      </x:c>
      <x:c r="L183" s="98" t="str">
        <x:v>PENDING_OWNER_ELIGIBILITY_APPROVAL</x:v>
      </x:c>
      <x:c r="M183" s="98" t="b">
        <x:f>IF(E183="EOA_CANDIDATE",I183&gt;='Decision Summary'!$B$11,FALSE)</x:f>
        <x:v>0</x:v>
      </x:c>
      <x:c r="N183" s="98" t="str">
        <x:f>IF(M183,"DRAFT INCLUDE","HOLD / EXCLUDE")</x:f>
        <x:v>HOLD / EXCLUDE</x:v>
      </x:c>
      <x:c r="O183" s="101" t="str">
        <x:f>IF(M183,C183,"")</x:f>
      </x:c>
      <x:c r="P183" s="98" t="str">
        <x:f>IF(N183="DRAFT INCLUDE",ROUNDUP(COUNTIF($N$6:N183,"DRAFT INCLUDE")/'Decision Summary'!$B$12,0),"")</x:f>
      </x:c>
      <x:c r="Q183" s="98" t="str">
        <x:f>IF(N183="DRAFT INCLUDE",MOD(COUNTIF($N$6:N183,"DRAFT INCLUDE")-1,'Decision Summary'!$B$12)+1,"")</x:f>
      </x:c>
      <x:c r="R183" s="98" t="str">
        <x:v>PENDING</x:v>
      </x:c>
      <x:c r="S183" s="98" t="str"/>
      <x:c r="T183" s="98" t="str">
        <x:v>Ordinary EOA candidate; inclusion still depends on V1 deprecation, threshold policy and owner approval.</x:v>
      </x:c>
      <x:c r="U183" s="89" t="str">
        <x:v>https://etherscan.io/token/0x445d03f499f1c150615957bb87588fb465fc91cc#balances</x:v>
      </x:c>
      <x:c r="V183" s="89" t="b">
        <x:f>COUNTIF($C$6:$C$502,C183)&gt;1</x:f>
        <x:v>0</x:v>
      </x:c>
    </x:row>
    <x:row r="184">
      <x:c r="A184" s="89" t="n">
        <x:v>179</x:v>
      </x:c>
      <x:c r="B184" s="89" t="str">
        <x:v>v1-mainnet-0179</x:v>
      </x:c>
      <x:c r="C184" s="90" t="str">
        <x:v>0xe518569b30651e90bc487dbd5ca44ae8d6110c37</x:v>
      </x:c>
      <x:c r="D184" s="98" t="str"/>
      <x:c r="E184" s="98" t="str">
        <x:v>EOA_CANDIDATE</x:v>
      </x:c>
      <x:c r="F184" s="91" t="b">
        <x:v>0</x:v>
      </x:c>
      <x:c r="G184" s="89" t="n">
        <x:v>0</x:v>
      </x:c>
      <x:c r="H184" s="90" t="str">
        <x:v>8375800000000</x:v>
      </x:c>
      <x:c r="I184" s="92" t="n">
        <x:v>8.3758</x:v>
      </x:c>
      <x:c r="J184" s="92" t="str">
        <x:v>8375800000000000000</x:v>
      </x:c>
      <x:c r="K184" s="92" t="n">
        <x:v>8.3758</x:v>
      </x:c>
      <x:c r="L184" s="98" t="str">
        <x:v>PENDING_OWNER_ELIGIBILITY_APPROVAL</x:v>
      </x:c>
      <x:c r="M184" s="98" t="b">
        <x:f>IF(E184="EOA_CANDIDATE",I184&gt;='Decision Summary'!$B$11,FALSE)</x:f>
        <x:v>0</x:v>
      </x:c>
      <x:c r="N184" s="98" t="str">
        <x:f>IF(M184,"DRAFT INCLUDE","HOLD / EXCLUDE")</x:f>
        <x:v>HOLD / EXCLUDE</x:v>
      </x:c>
      <x:c r="O184" s="101" t="str">
        <x:f>IF(M184,C184,"")</x:f>
      </x:c>
      <x:c r="P184" s="98" t="str">
        <x:f>IF(N184="DRAFT INCLUDE",ROUNDUP(COUNTIF($N$6:N184,"DRAFT INCLUDE")/'Decision Summary'!$B$12,0),"")</x:f>
      </x:c>
      <x:c r="Q184" s="98" t="str">
        <x:f>IF(N184="DRAFT INCLUDE",MOD(COUNTIF($N$6:N184,"DRAFT INCLUDE")-1,'Decision Summary'!$B$12)+1,"")</x:f>
      </x:c>
      <x:c r="R184" s="98" t="str">
        <x:v>PENDING</x:v>
      </x:c>
      <x:c r="S184" s="98" t="str"/>
      <x:c r="T184" s="98" t="str">
        <x:v>Ordinary EOA candidate; inclusion still depends on V1 deprecation, threshold policy and owner approval.</x:v>
      </x:c>
      <x:c r="U184" s="89" t="str">
        <x:v>https://etherscan.io/token/0x445d03f499f1c150615957bb87588fb465fc91cc#balances</x:v>
      </x:c>
      <x:c r="V184" s="89" t="b">
        <x:f>COUNTIF($C$6:$C$502,C184)&gt;1</x:f>
        <x:v>0</x:v>
      </x:c>
    </x:row>
    <x:row r="185">
      <x:c r="A185" s="89" t="n">
        <x:v>180</x:v>
      </x:c>
      <x:c r="B185" s="89" t="str">
        <x:v>v1-mainnet-0180</x:v>
      </x:c>
      <x:c r="C185" s="90" t="str">
        <x:v>0x062eefd68ee862177c0e76cfea4d947c3f96d72d</x:v>
      </x:c>
      <x:c r="D185" s="98" t="str"/>
      <x:c r="E185" s="98" t="str">
        <x:v>EOA_CANDIDATE</x:v>
      </x:c>
      <x:c r="F185" s="91" t="b">
        <x:v>0</x:v>
      </x:c>
      <x:c r="G185" s="89" t="n">
        <x:v>0</x:v>
      </x:c>
      <x:c r="H185" s="90" t="str">
        <x:v>8367300000000</x:v>
      </x:c>
      <x:c r="I185" s="92" t="n">
        <x:v>8.3673</x:v>
      </x:c>
      <x:c r="J185" s="92" t="str">
        <x:v>8367300000000000000</x:v>
      </x:c>
      <x:c r="K185" s="92" t="n">
        <x:v>8.3673</x:v>
      </x:c>
      <x:c r="L185" s="98" t="str">
        <x:v>PENDING_OWNER_ELIGIBILITY_APPROVAL</x:v>
      </x:c>
      <x:c r="M185" s="98" t="b">
        <x:f>IF(E185="EOA_CANDIDATE",I185&gt;='Decision Summary'!$B$11,FALSE)</x:f>
        <x:v>0</x:v>
      </x:c>
      <x:c r="N185" s="98" t="str">
        <x:f>IF(M185,"DRAFT INCLUDE","HOLD / EXCLUDE")</x:f>
        <x:v>HOLD / EXCLUDE</x:v>
      </x:c>
      <x:c r="O185" s="101" t="str">
        <x:f>IF(M185,C185,"")</x:f>
      </x:c>
      <x:c r="P185" s="98" t="str">
        <x:f>IF(N185="DRAFT INCLUDE",ROUNDUP(COUNTIF($N$6:N185,"DRAFT INCLUDE")/'Decision Summary'!$B$12,0),"")</x:f>
      </x:c>
      <x:c r="Q185" s="98" t="str">
        <x:f>IF(N185="DRAFT INCLUDE",MOD(COUNTIF($N$6:N185,"DRAFT INCLUDE")-1,'Decision Summary'!$B$12)+1,"")</x:f>
      </x:c>
      <x:c r="R185" s="98" t="str">
        <x:v>PENDING</x:v>
      </x:c>
      <x:c r="S185" s="98" t="str"/>
      <x:c r="T185" s="98" t="str">
        <x:v>Ordinary EOA candidate; inclusion still depends on V1 deprecation, threshold policy and owner approval.</x:v>
      </x:c>
      <x:c r="U185" s="89" t="str">
        <x:v>https://etherscan.io/token/0x445d03f499f1c150615957bb87588fb465fc91cc#balances</x:v>
      </x:c>
      <x:c r="V185" s="89" t="b">
        <x:f>COUNTIF($C$6:$C$502,C185)&gt;1</x:f>
        <x:v>0</x:v>
      </x:c>
    </x:row>
    <x:row r="186">
      <x:c r="A186" s="89" t="n">
        <x:v>181</x:v>
      </x:c>
      <x:c r="B186" s="89" t="str">
        <x:v>v1-mainnet-0181</x:v>
      </x:c>
      <x:c r="C186" s="90" t="str">
        <x:v>0x36d7454ab8618d54508c891e1b528e4fd923218a</x:v>
      </x:c>
      <x:c r="D186" s="98" t="str"/>
      <x:c r="E186" s="98" t="str">
        <x:v>EOA_CANDIDATE</x:v>
      </x:c>
      <x:c r="F186" s="91" t="b">
        <x:v>0</x:v>
      </x:c>
      <x:c r="G186" s="89" t="n">
        <x:v>0</x:v>
      </x:c>
      <x:c r="H186" s="90" t="str">
        <x:v>8365600000000</x:v>
      </x:c>
      <x:c r="I186" s="92" t="n">
        <x:v>8.3656</x:v>
      </x:c>
      <x:c r="J186" s="92" t="str">
        <x:v>8365600000000000000</x:v>
      </x:c>
      <x:c r="K186" s="92" t="n">
        <x:v>8.3656</x:v>
      </x:c>
      <x:c r="L186" s="98" t="str">
        <x:v>PENDING_OWNER_ELIGIBILITY_APPROVAL</x:v>
      </x:c>
      <x:c r="M186" s="98" t="b">
        <x:f>IF(E186="EOA_CANDIDATE",I186&gt;='Decision Summary'!$B$11,FALSE)</x:f>
        <x:v>0</x:v>
      </x:c>
      <x:c r="N186" s="98" t="str">
        <x:f>IF(M186,"DRAFT INCLUDE","HOLD / EXCLUDE")</x:f>
        <x:v>HOLD / EXCLUDE</x:v>
      </x:c>
      <x:c r="O186" s="101" t="str">
        <x:f>IF(M186,C186,"")</x:f>
      </x:c>
      <x:c r="P186" s="98" t="str">
        <x:f>IF(N186="DRAFT INCLUDE",ROUNDUP(COUNTIF($N$6:N186,"DRAFT INCLUDE")/'Decision Summary'!$B$12,0),"")</x:f>
      </x:c>
      <x:c r="Q186" s="98" t="str">
        <x:f>IF(N186="DRAFT INCLUDE",MOD(COUNTIF($N$6:N186,"DRAFT INCLUDE")-1,'Decision Summary'!$B$12)+1,"")</x:f>
      </x:c>
      <x:c r="R186" s="98" t="str">
        <x:v>PENDING</x:v>
      </x:c>
      <x:c r="S186" s="98" t="str"/>
      <x:c r="T186" s="98" t="str">
        <x:v>Ordinary EOA candidate; inclusion still depends on V1 deprecation, threshold policy and owner approval.</x:v>
      </x:c>
      <x:c r="U186" s="89" t="str">
        <x:v>https://etherscan.io/token/0x445d03f499f1c150615957bb87588fb465fc91cc#balances</x:v>
      </x:c>
      <x:c r="V186" s="89" t="b">
        <x:f>COUNTIF($C$6:$C$502,C186)&gt;1</x:f>
        <x:v>0</x:v>
      </x:c>
    </x:row>
    <x:row r="187">
      <x:c r="A187" s="89" t="n">
        <x:v>182</x:v>
      </x:c>
      <x:c r="B187" s="89" t="str">
        <x:v>v1-mainnet-0182</x:v>
      </x:c>
      <x:c r="C187" s="90" t="str">
        <x:v>0x3c2c835f7dbc21f20e0e38601616f63753cb78f4</x:v>
      </x:c>
      <x:c r="D187" s="98" t="str"/>
      <x:c r="E187" s="98" t="str">
        <x:v>EOA_CANDIDATE</x:v>
      </x:c>
      <x:c r="F187" s="91" t="b">
        <x:v>0</x:v>
      </x:c>
      <x:c r="G187" s="89" t="n">
        <x:v>0</x:v>
      </x:c>
      <x:c r="H187" s="90" t="str">
        <x:v>8359200000000</x:v>
      </x:c>
      <x:c r="I187" s="92" t="n">
        <x:v>8.3592</x:v>
      </x:c>
      <x:c r="J187" s="92" t="str">
        <x:v>8359200000000000000</x:v>
      </x:c>
      <x:c r="K187" s="92" t="n">
        <x:v>8.3592</x:v>
      </x:c>
      <x:c r="L187" s="98" t="str">
        <x:v>PENDING_OWNER_ELIGIBILITY_APPROVAL</x:v>
      </x:c>
      <x:c r="M187" s="98" t="b">
        <x:f>IF(E187="EOA_CANDIDATE",I187&gt;='Decision Summary'!$B$11,FALSE)</x:f>
        <x:v>0</x:v>
      </x:c>
      <x:c r="N187" s="98" t="str">
        <x:f>IF(M187,"DRAFT INCLUDE","HOLD / EXCLUDE")</x:f>
        <x:v>HOLD / EXCLUDE</x:v>
      </x:c>
      <x:c r="O187" s="101" t="str">
        <x:f>IF(M187,C187,"")</x:f>
      </x:c>
      <x:c r="P187" s="98" t="str">
        <x:f>IF(N187="DRAFT INCLUDE",ROUNDUP(COUNTIF($N$6:N187,"DRAFT INCLUDE")/'Decision Summary'!$B$12,0),"")</x:f>
      </x:c>
      <x:c r="Q187" s="98" t="str">
        <x:f>IF(N187="DRAFT INCLUDE",MOD(COUNTIF($N$6:N187,"DRAFT INCLUDE")-1,'Decision Summary'!$B$12)+1,"")</x:f>
      </x:c>
      <x:c r="R187" s="98" t="str">
        <x:v>PENDING</x:v>
      </x:c>
      <x:c r="S187" s="98" t="str"/>
      <x:c r="T187" s="98" t="str">
        <x:v>Ordinary EOA candidate; inclusion still depends on V1 deprecation, threshold policy and owner approval.</x:v>
      </x:c>
      <x:c r="U187" s="89" t="str">
        <x:v>https://etherscan.io/token/0x445d03f499f1c150615957bb87588fb465fc91cc#balances</x:v>
      </x:c>
      <x:c r="V187" s="89" t="b">
        <x:f>COUNTIF($C$6:$C$502,C187)&gt;1</x:f>
        <x:v>0</x:v>
      </x:c>
    </x:row>
    <x:row r="188">
      <x:c r="A188" s="89" t="n">
        <x:v>183</x:v>
      </x:c>
      <x:c r="B188" s="89" t="str">
        <x:v>v1-mainnet-0183</x:v>
      </x:c>
      <x:c r="C188" s="90" t="str">
        <x:v>0x680535877cc850136a36444c6e2b81a20270239b</x:v>
      </x:c>
      <x:c r="D188" s="98" t="str"/>
      <x:c r="E188" s="98" t="str">
        <x:v>EOA_CANDIDATE</x:v>
      </x:c>
      <x:c r="F188" s="91" t="b">
        <x:v>0</x:v>
      </x:c>
      <x:c r="G188" s="89" t="n">
        <x:v>0</x:v>
      </x:c>
      <x:c r="H188" s="90" t="str">
        <x:v>8349900000000</x:v>
      </x:c>
      <x:c r="I188" s="92" t="n">
        <x:v>8.3499</x:v>
      </x:c>
      <x:c r="J188" s="92" t="str">
        <x:v>8349900000000000000</x:v>
      </x:c>
      <x:c r="K188" s="92" t="n">
        <x:v>8.3499</x:v>
      </x:c>
      <x:c r="L188" s="98" t="str">
        <x:v>PENDING_OWNER_ELIGIBILITY_APPROVAL</x:v>
      </x:c>
      <x:c r="M188" s="98" t="b">
        <x:f>IF(E188="EOA_CANDIDATE",I188&gt;='Decision Summary'!$B$11,FALSE)</x:f>
        <x:v>0</x:v>
      </x:c>
      <x:c r="N188" s="98" t="str">
        <x:f>IF(M188,"DRAFT INCLUDE","HOLD / EXCLUDE")</x:f>
        <x:v>HOLD / EXCLUDE</x:v>
      </x:c>
      <x:c r="O188" s="101" t="str">
        <x:f>IF(M188,C188,"")</x:f>
      </x:c>
      <x:c r="P188" s="98" t="str">
        <x:f>IF(N188="DRAFT INCLUDE",ROUNDUP(COUNTIF($N$6:N188,"DRAFT INCLUDE")/'Decision Summary'!$B$12,0),"")</x:f>
      </x:c>
      <x:c r="Q188" s="98" t="str">
        <x:f>IF(N188="DRAFT INCLUDE",MOD(COUNTIF($N$6:N188,"DRAFT INCLUDE")-1,'Decision Summary'!$B$12)+1,"")</x:f>
      </x:c>
      <x:c r="R188" s="98" t="str">
        <x:v>PENDING</x:v>
      </x:c>
      <x:c r="S188" s="98" t="str"/>
      <x:c r="T188" s="98" t="str">
        <x:v>Ordinary EOA candidate; inclusion still depends on V1 deprecation, threshold policy and owner approval.</x:v>
      </x:c>
      <x:c r="U188" s="89" t="str">
        <x:v>https://etherscan.io/token/0x445d03f499f1c150615957bb87588fb465fc91cc#balances</x:v>
      </x:c>
      <x:c r="V188" s="89" t="b">
        <x:f>COUNTIF($C$6:$C$502,C188)&gt;1</x:f>
        <x:v>0</x:v>
      </x:c>
    </x:row>
    <x:row r="189">
      <x:c r="A189" s="89" t="n">
        <x:v>184</x:v>
      </x:c>
      <x:c r="B189" s="89" t="str">
        <x:v>v1-mainnet-0184</x:v>
      </x:c>
      <x:c r="C189" s="90" t="str">
        <x:v>0x874b333471e345684bff088768ce72ab36d8e24d</x:v>
      </x:c>
      <x:c r="D189" s="98" t="str"/>
      <x:c r="E189" s="98" t="str">
        <x:v>EOA_CANDIDATE</x:v>
      </x:c>
      <x:c r="F189" s="91" t="b">
        <x:v>0</x:v>
      </x:c>
      <x:c r="G189" s="89" t="n">
        <x:v>0</x:v>
      </x:c>
      <x:c r="H189" s="90" t="str">
        <x:v>8347400000000</x:v>
      </x:c>
      <x:c r="I189" s="92" t="n">
        <x:v>8.3474</x:v>
      </x:c>
      <x:c r="J189" s="92" t="str">
        <x:v>8347400000000000000</x:v>
      </x:c>
      <x:c r="K189" s="92" t="n">
        <x:v>8.3474</x:v>
      </x:c>
      <x:c r="L189" s="98" t="str">
        <x:v>PENDING_OWNER_ELIGIBILITY_APPROVAL</x:v>
      </x:c>
      <x:c r="M189" s="98" t="b">
        <x:f>IF(E189="EOA_CANDIDATE",I189&gt;='Decision Summary'!$B$11,FALSE)</x:f>
        <x:v>0</x:v>
      </x:c>
      <x:c r="N189" s="98" t="str">
        <x:f>IF(M189,"DRAFT INCLUDE","HOLD / EXCLUDE")</x:f>
        <x:v>HOLD / EXCLUDE</x:v>
      </x:c>
      <x:c r="O189" s="101" t="str">
        <x:f>IF(M189,C189,"")</x:f>
      </x:c>
      <x:c r="P189" s="98" t="str">
        <x:f>IF(N189="DRAFT INCLUDE",ROUNDUP(COUNTIF($N$6:N189,"DRAFT INCLUDE")/'Decision Summary'!$B$12,0),"")</x:f>
      </x:c>
      <x:c r="Q189" s="98" t="str">
        <x:f>IF(N189="DRAFT INCLUDE",MOD(COUNTIF($N$6:N189,"DRAFT INCLUDE")-1,'Decision Summary'!$B$12)+1,"")</x:f>
      </x:c>
      <x:c r="R189" s="98" t="str">
        <x:v>PENDING</x:v>
      </x:c>
      <x:c r="S189" s="98" t="str"/>
      <x:c r="T189" s="98" t="str">
        <x:v>Ordinary EOA candidate; inclusion still depends on V1 deprecation, threshold policy and owner approval.</x:v>
      </x:c>
      <x:c r="U189" s="89" t="str">
        <x:v>https://etherscan.io/token/0x445d03f499f1c150615957bb87588fb465fc91cc#balances</x:v>
      </x:c>
      <x:c r="V189" s="89" t="b">
        <x:f>COUNTIF($C$6:$C$502,C189)&gt;1</x:f>
        <x:v>0</x:v>
      </x:c>
    </x:row>
    <x:row r="190">
      <x:c r="A190" s="89" t="n">
        <x:v>185</x:v>
      </x:c>
      <x:c r="B190" s="89" t="str">
        <x:v>v1-mainnet-0185</x:v>
      </x:c>
      <x:c r="C190" s="90" t="str">
        <x:v>0x0ba6569a708a160505a00204ef68a9c87b007ad2</x:v>
      </x:c>
      <x:c r="D190" s="98" t="str"/>
      <x:c r="E190" s="98" t="str">
        <x:v>EOA_CANDIDATE</x:v>
      </x:c>
      <x:c r="F190" s="91" t="b">
        <x:v>0</x:v>
      </x:c>
      <x:c r="G190" s="89" t="n">
        <x:v>0</x:v>
      </x:c>
      <x:c r="H190" s="90" t="str">
        <x:v>8340200000000</x:v>
      </x:c>
      <x:c r="I190" s="92" t="n">
        <x:v>8.3402</x:v>
      </x:c>
      <x:c r="J190" s="92" t="str">
        <x:v>8340200000000000000</x:v>
      </x:c>
      <x:c r="K190" s="92" t="n">
        <x:v>8.3402</x:v>
      </x:c>
      <x:c r="L190" s="98" t="str">
        <x:v>PENDING_OWNER_ELIGIBILITY_APPROVAL</x:v>
      </x:c>
      <x:c r="M190" s="98" t="b">
        <x:f>IF(E190="EOA_CANDIDATE",I190&gt;='Decision Summary'!$B$11,FALSE)</x:f>
        <x:v>0</x:v>
      </x:c>
      <x:c r="N190" s="98" t="str">
        <x:f>IF(M190,"DRAFT INCLUDE","HOLD / EXCLUDE")</x:f>
        <x:v>HOLD / EXCLUDE</x:v>
      </x:c>
      <x:c r="O190" s="101" t="str">
        <x:f>IF(M190,C190,"")</x:f>
      </x:c>
      <x:c r="P190" s="98" t="str">
        <x:f>IF(N190="DRAFT INCLUDE",ROUNDUP(COUNTIF($N$6:N190,"DRAFT INCLUDE")/'Decision Summary'!$B$12,0),"")</x:f>
      </x:c>
      <x:c r="Q190" s="98" t="str">
        <x:f>IF(N190="DRAFT INCLUDE",MOD(COUNTIF($N$6:N190,"DRAFT INCLUDE")-1,'Decision Summary'!$B$12)+1,"")</x:f>
      </x:c>
      <x:c r="R190" s="98" t="str">
        <x:v>PENDING</x:v>
      </x:c>
      <x:c r="S190" s="98" t="str"/>
      <x:c r="T190" s="98" t="str">
        <x:v>Ordinary EOA candidate; inclusion still depends on V1 deprecation, threshold policy and owner approval.</x:v>
      </x:c>
      <x:c r="U190" s="89" t="str">
        <x:v>https://etherscan.io/token/0x445d03f499f1c150615957bb87588fb465fc91cc#balances</x:v>
      </x:c>
      <x:c r="V190" s="89" t="b">
        <x:f>COUNTIF($C$6:$C$502,C190)&gt;1</x:f>
        <x:v>0</x:v>
      </x:c>
    </x:row>
    <x:row r="191">
      <x:c r="A191" s="89" t="n">
        <x:v>186</x:v>
      </x:c>
      <x:c r="B191" s="89" t="str">
        <x:v>v1-mainnet-0186</x:v>
      </x:c>
      <x:c r="C191" s="90" t="str">
        <x:v>0x60a17369345c986b986004ef59b3d913fa91ba27</x:v>
      </x:c>
      <x:c r="D191" s="98" t="str"/>
      <x:c r="E191" s="98" t="str">
        <x:v>EOA_CANDIDATE</x:v>
      </x:c>
      <x:c r="F191" s="91" t="b">
        <x:v>0</x:v>
      </x:c>
      <x:c r="G191" s="89" t="n">
        <x:v>0</x:v>
      </x:c>
      <x:c r="H191" s="90" t="str">
        <x:v>8332100000000</x:v>
      </x:c>
      <x:c r="I191" s="92" t="n">
        <x:v>8.3321</x:v>
      </x:c>
      <x:c r="J191" s="92" t="str">
        <x:v>8332100000000000000</x:v>
      </x:c>
      <x:c r="K191" s="92" t="n">
        <x:v>8.3321</x:v>
      </x:c>
      <x:c r="L191" s="98" t="str">
        <x:v>PENDING_OWNER_ELIGIBILITY_APPROVAL</x:v>
      </x:c>
      <x:c r="M191" s="98" t="b">
        <x:f>IF(E191="EOA_CANDIDATE",I191&gt;='Decision Summary'!$B$11,FALSE)</x:f>
        <x:v>0</x:v>
      </x:c>
      <x:c r="N191" s="98" t="str">
        <x:f>IF(M191,"DRAFT INCLUDE","HOLD / EXCLUDE")</x:f>
        <x:v>HOLD / EXCLUDE</x:v>
      </x:c>
      <x:c r="O191" s="101" t="str">
        <x:f>IF(M191,C191,"")</x:f>
      </x:c>
      <x:c r="P191" s="98" t="str">
        <x:f>IF(N191="DRAFT INCLUDE",ROUNDUP(COUNTIF($N$6:N191,"DRAFT INCLUDE")/'Decision Summary'!$B$12,0),"")</x:f>
      </x:c>
      <x:c r="Q191" s="98" t="str">
        <x:f>IF(N191="DRAFT INCLUDE",MOD(COUNTIF($N$6:N191,"DRAFT INCLUDE")-1,'Decision Summary'!$B$12)+1,"")</x:f>
      </x:c>
      <x:c r="R191" s="98" t="str">
        <x:v>PENDING</x:v>
      </x:c>
      <x:c r="S191" s="98" t="str"/>
      <x:c r="T191" s="98" t="str">
        <x:v>Ordinary EOA candidate; inclusion still depends on V1 deprecation, threshold policy and owner approval.</x:v>
      </x:c>
      <x:c r="U191" s="89" t="str">
        <x:v>https://etherscan.io/token/0x445d03f499f1c150615957bb87588fb465fc91cc#balances</x:v>
      </x:c>
      <x:c r="V191" s="89" t="b">
        <x:f>COUNTIF($C$6:$C$502,C191)&gt;1</x:f>
        <x:v>0</x:v>
      </x:c>
    </x:row>
    <x:row r="192">
      <x:c r="A192" s="89" t="n">
        <x:v>187</x:v>
      </x:c>
      <x:c r="B192" s="89" t="str">
        <x:v>v1-mainnet-0187</x:v>
      </x:c>
      <x:c r="C192" s="90" t="str">
        <x:v>0x9484e1ec526d09bf45b6905d101a61d6cead1cae</x:v>
      </x:c>
      <x:c r="D192" s="98" t="str"/>
      <x:c r="E192" s="98" t="str">
        <x:v>EOA_CANDIDATE</x:v>
      </x:c>
      <x:c r="F192" s="91" t="b">
        <x:v>0</x:v>
      </x:c>
      <x:c r="G192" s="89" t="n">
        <x:v>0</x:v>
      </x:c>
      <x:c r="H192" s="90" t="str">
        <x:v>8327900000000</x:v>
      </x:c>
      <x:c r="I192" s="92" t="n">
        <x:v>8.3279</x:v>
      </x:c>
      <x:c r="J192" s="92" t="str">
        <x:v>8327900000000000000</x:v>
      </x:c>
      <x:c r="K192" s="92" t="n">
        <x:v>8.3279</x:v>
      </x:c>
      <x:c r="L192" s="98" t="str">
        <x:v>PENDING_OWNER_ELIGIBILITY_APPROVAL</x:v>
      </x:c>
      <x:c r="M192" s="98" t="b">
        <x:f>IF(E192="EOA_CANDIDATE",I192&gt;='Decision Summary'!$B$11,FALSE)</x:f>
        <x:v>0</x:v>
      </x:c>
      <x:c r="N192" s="98" t="str">
        <x:f>IF(M192,"DRAFT INCLUDE","HOLD / EXCLUDE")</x:f>
        <x:v>HOLD / EXCLUDE</x:v>
      </x:c>
      <x:c r="O192" s="101" t="str">
        <x:f>IF(M192,C192,"")</x:f>
      </x:c>
      <x:c r="P192" s="98" t="str">
        <x:f>IF(N192="DRAFT INCLUDE",ROUNDUP(COUNTIF($N$6:N192,"DRAFT INCLUDE")/'Decision Summary'!$B$12,0),"")</x:f>
      </x:c>
      <x:c r="Q192" s="98" t="str">
        <x:f>IF(N192="DRAFT INCLUDE",MOD(COUNTIF($N$6:N192,"DRAFT INCLUDE")-1,'Decision Summary'!$B$12)+1,"")</x:f>
      </x:c>
      <x:c r="R192" s="98" t="str">
        <x:v>PENDING</x:v>
      </x:c>
      <x:c r="S192" s="98" t="str"/>
      <x:c r="T192" s="98" t="str">
        <x:v>Ordinary EOA candidate; inclusion still depends on V1 deprecation, threshold policy and owner approval.</x:v>
      </x:c>
      <x:c r="U192" s="89" t="str">
        <x:v>https://etherscan.io/token/0x445d03f499f1c150615957bb87588fb465fc91cc#balances</x:v>
      </x:c>
      <x:c r="V192" s="89" t="b">
        <x:f>COUNTIF($C$6:$C$502,C192)&gt;1</x:f>
        <x:v>0</x:v>
      </x:c>
    </x:row>
    <x:row r="193">
      <x:c r="A193" s="89" t="n">
        <x:v>188</x:v>
      </x:c>
      <x:c r="B193" s="89" t="str">
        <x:v>v1-mainnet-0188</x:v>
      </x:c>
      <x:c r="C193" s="90" t="str">
        <x:v>0x778bb48d033ecb77acc3a5b0af398c3cd6d8c33e</x:v>
      </x:c>
      <x:c r="D193" s="98" t="str"/>
      <x:c r="E193" s="98" t="str">
        <x:v>EOA_CANDIDATE</x:v>
      </x:c>
      <x:c r="F193" s="91" t="b">
        <x:v>0</x:v>
      </x:c>
      <x:c r="G193" s="89" t="n">
        <x:v>0</x:v>
      </x:c>
      <x:c r="H193" s="90" t="str">
        <x:v>8301900000000</x:v>
      </x:c>
      <x:c r="I193" s="92" t="n">
        <x:v>8.3019</x:v>
      </x:c>
      <x:c r="J193" s="92" t="str">
        <x:v>8301900000000000000</x:v>
      </x:c>
      <x:c r="K193" s="92" t="n">
        <x:v>8.3019</x:v>
      </x:c>
      <x:c r="L193" s="98" t="str">
        <x:v>PENDING_OWNER_ELIGIBILITY_APPROVAL</x:v>
      </x:c>
      <x:c r="M193" s="98" t="b">
        <x:f>IF(E193="EOA_CANDIDATE",I193&gt;='Decision Summary'!$B$11,FALSE)</x:f>
        <x:v>0</x:v>
      </x:c>
      <x:c r="N193" s="98" t="str">
        <x:f>IF(M193,"DRAFT INCLUDE","HOLD / EXCLUDE")</x:f>
        <x:v>HOLD / EXCLUDE</x:v>
      </x:c>
      <x:c r="O193" s="101" t="str">
        <x:f>IF(M193,C193,"")</x:f>
      </x:c>
      <x:c r="P193" s="98" t="str">
        <x:f>IF(N193="DRAFT INCLUDE",ROUNDUP(COUNTIF($N$6:N193,"DRAFT INCLUDE")/'Decision Summary'!$B$12,0),"")</x:f>
      </x:c>
      <x:c r="Q193" s="98" t="str">
        <x:f>IF(N193="DRAFT INCLUDE",MOD(COUNTIF($N$6:N193,"DRAFT INCLUDE")-1,'Decision Summary'!$B$12)+1,"")</x:f>
      </x:c>
      <x:c r="R193" s="98" t="str">
        <x:v>PENDING</x:v>
      </x:c>
      <x:c r="S193" s="98" t="str"/>
      <x:c r="T193" s="98" t="str">
        <x:v>Ordinary EOA candidate; inclusion still depends on V1 deprecation, threshold policy and owner approval.</x:v>
      </x:c>
      <x:c r="U193" s="89" t="str">
        <x:v>https://etherscan.io/token/0x445d03f499f1c150615957bb87588fb465fc91cc#balances</x:v>
      </x:c>
      <x:c r="V193" s="89" t="b">
        <x:f>COUNTIF($C$6:$C$502,C193)&gt;1</x:f>
        <x:v>0</x:v>
      </x:c>
    </x:row>
    <x:row r="194">
      <x:c r="A194" s="89" t="n">
        <x:v>189</x:v>
      </x:c>
      <x:c r="B194" s="89" t="str">
        <x:v>v1-mainnet-0189</x:v>
      </x:c>
      <x:c r="C194" s="90" t="str">
        <x:v>0xa39a05d851affbf18a28b5a9c4117b9342d1bbd9</x:v>
      </x:c>
      <x:c r="D194" s="98" t="str"/>
      <x:c r="E194" s="98" t="str">
        <x:v>EOA_CANDIDATE</x:v>
      </x:c>
      <x:c r="F194" s="91" t="b">
        <x:v>0</x:v>
      </x:c>
      <x:c r="G194" s="89" t="n">
        <x:v>0</x:v>
      </x:c>
      <x:c r="H194" s="90" t="str">
        <x:v>8259100000000</x:v>
      </x:c>
      <x:c r="I194" s="92" t="n">
        <x:v>8.2591</x:v>
      </x:c>
      <x:c r="J194" s="92" t="str">
        <x:v>8259100000000000000</x:v>
      </x:c>
      <x:c r="K194" s="92" t="n">
        <x:v>8.2591</x:v>
      </x:c>
      <x:c r="L194" s="98" t="str">
        <x:v>PENDING_OWNER_ELIGIBILITY_APPROVAL</x:v>
      </x:c>
      <x:c r="M194" s="98" t="b">
        <x:f>IF(E194="EOA_CANDIDATE",I194&gt;='Decision Summary'!$B$11,FALSE)</x:f>
        <x:v>0</x:v>
      </x:c>
      <x:c r="N194" s="98" t="str">
        <x:f>IF(M194,"DRAFT INCLUDE","HOLD / EXCLUDE")</x:f>
        <x:v>HOLD / EXCLUDE</x:v>
      </x:c>
      <x:c r="O194" s="101" t="str">
        <x:f>IF(M194,C194,"")</x:f>
      </x:c>
      <x:c r="P194" s="98" t="str">
        <x:f>IF(N194="DRAFT INCLUDE",ROUNDUP(COUNTIF($N$6:N194,"DRAFT INCLUDE")/'Decision Summary'!$B$12,0),"")</x:f>
      </x:c>
      <x:c r="Q194" s="98" t="str">
        <x:f>IF(N194="DRAFT INCLUDE",MOD(COUNTIF($N$6:N194,"DRAFT INCLUDE")-1,'Decision Summary'!$B$12)+1,"")</x:f>
      </x:c>
      <x:c r="R194" s="98" t="str">
        <x:v>PENDING</x:v>
      </x:c>
      <x:c r="S194" s="98" t="str"/>
      <x:c r="T194" s="98" t="str">
        <x:v>Ordinary EOA candidate; inclusion still depends on V1 deprecation, threshold policy and owner approval.</x:v>
      </x:c>
      <x:c r="U194" s="89" t="str">
        <x:v>https://etherscan.io/token/0x445d03f499f1c150615957bb87588fb465fc91cc#balances</x:v>
      </x:c>
      <x:c r="V194" s="89" t="b">
        <x:f>COUNTIF($C$6:$C$502,C194)&gt;1</x:f>
        <x:v>0</x:v>
      </x:c>
    </x:row>
    <x:row r="195">
      <x:c r="A195" s="89" t="n">
        <x:v>190</x:v>
      </x:c>
      <x:c r="B195" s="89" t="str">
        <x:v>v1-mainnet-0190</x:v>
      </x:c>
      <x:c r="C195" s="90" t="str">
        <x:v>0x8194fe6fa5a3c95af8ccf00ba5cd90468a5a268d</x:v>
      </x:c>
      <x:c r="D195" s="98" t="str"/>
      <x:c r="E195" s="98" t="str">
        <x:v>EOA_CANDIDATE</x:v>
      </x:c>
      <x:c r="F195" s="91" t="b">
        <x:v>0</x:v>
      </x:c>
      <x:c r="G195" s="89" t="n">
        <x:v>0</x:v>
      </x:c>
      <x:c r="H195" s="90" t="str">
        <x:v>8212400000000</x:v>
      </x:c>
      <x:c r="I195" s="92" t="n">
        <x:v>8.2124</x:v>
      </x:c>
      <x:c r="J195" s="92" t="str">
        <x:v>8212400000000000000</x:v>
      </x:c>
      <x:c r="K195" s="92" t="n">
        <x:v>8.2124</x:v>
      </x:c>
      <x:c r="L195" s="98" t="str">
        <x:v>PENDING_OWNER_ELIGIBILITY_APPROVAL</x:v>
      </x:c>
      <x:c r="M195" s="98" t="b">
        <x:f>IF(E195="EOA_CANDIDATE",I195&gt;='Decision Summary'!$B$11,FALSE)</x:f>
        <x:v>0</x:v>
      </x:c>
      <x:c r="N195" s="98" t="str">
        <x:f>IF(M195,"DRAFT INCLUDE","HOLD / EXCLUDE")</x:f>
        <x:v>HOLD / EXCLUDE</x:v>
      </x:c>
      <x:c r="O195" s="101" t="str">
        <x:f>IF(M195,C195,"")</x:f>
      </x:c>
      <x:c r="P195" s="98" t="str">
        <x:f>IF(N195="DRAFT INCLUDE",ROUNDUP(COUNTIF($N$6:N195,"DRAFT INCLUDE")/'Decision Summary'!$B$12,0),"")</x:f>
      </x:c>
      <x:c r="Q195" s="98" t="str">
        <x:f>IF(N195="DRAFT INCLUDE",MOD(COUNTIF($N$6:N195,"DRAFT INCLUDE")-1,'Decision Summary'!$B$12)+1,"")</x:f>
      </x:c>
      <x:c r="R195" s="98" t="str">
        <x:v>PENDING</x:v>
      </x:c>
      <x:c r="S195" s="98" t="str"/>
      <x:c r="T195" s="98" t="str">
        <x:v>Ordinary EOA candidate; inclusion still depends on V1 deprecation, threshold policy and owner approval.</x:v>
      </x:c>
      <x:c r="U195" s="89" t="str">
        <x:v>https://etherscan.io/token/0x445d03f499f1c150615957bb87588fb465fc91cc#balances</x:v>
      </x:c>
      <x:c r="V195" s="89" t="b">
        <x:f>COUNTIF($C$6:$C$502,C195)&gt;1</x:f>
        <x:v>0</x:v>
      </x:c>
    </x:row>
    <x:row r="196">
      <x:c r="A196" s="89" t="n">
        <x:v>191</x:v>
      </x:c>
      <x:c r="B196" s="89" t="str">
        <x:v>v1-mainnet-0191</x:v>
      </x:c>
      <x:c r="C196" s="90" t="str">
        <x:v>0x925c7abdf7020a7a52d0366c6d11d3b426ee13b8</x:v>
      </x:c>
      <x:c r="D196" s="98" t="str"/>
      <x:c r="E196" s="98" t="str">
        <x:v>EOA_CANDIDATE</x:v>
      </x:c>
      <x:c r="F196" s="91" t="b">
        <x:v>0</x:v>
      </x:c>
      <x:c r="G196" s="89" t="n">
        <x:v>0</x:v>
      </x:c>
      <x:c r="H196" s="90" t="str">
        <x:v>8210300000000</x:v>
      </x:c>
      <x:c r="I196" s="92" t="n">
        <x:v>8.2103</x:v>
      </x:c>
      <x:c r="J196" s="92" t="str">
        <x:v>8210300000000000000</x:v>
      </x:c>
      <x:c r="K196" s="92" t="n">
        <x:v>8.2103</x:v>
      </x:c>
      <x:c r="L196" s="98" t="str">
        <x:v>PENDING_OWNER_ELIGIBILITY_APPROVAL</x:v>
      </x:c>
      <x:c r="M196" s="98" t="b">
        <x:f>IF(E196="EOA_CANDIDATE",I196&gt;='Decision Summary'!$B$11,FALSE)</x:f>
        <x:v>0</x:v>
      </x:c>
      <x:c r="N196" s="98" t="str">
        <x:f>IF(M196,"DRAFT INCLUDE","HOLD / EXCLUDE")</x:f>
        <x:v>HOLD / EXCLUDE</x:v>
      </x:c>
      <x:c r="O196" s="101" t="str">
        <x:f>IF(M196,C196,"")</x:f>
      </x:c>
      <x:c r="P196" s="98" t="str">
        <x:f>IF(N196="DRAFT INCLUDE",ROUNDUP(COUNTIF($N$6:N196,"DRAFT INCLUDE")/'Decision Summary'!$B$12,0),"")</x:f>
      </x:c>
      <x:c r="Q196" s="98" t="str">
        <x:f>IF(N196="DRAFT INCLUDE",MOD(COUNTIF($N$6:N196,"DRAFT INCLUDE")-1,'Decision Summary'!$B$12)+1,"")</x:f>
      </x:c>
      <x:c r="R196" s="98" t="str">
        <x:v>PENDING</x:v>
      </x:c>
      <x:c r="S196" s="98" t="str"/>
      <x:c r="T196" s="98" t="str">
        <x:v>Ordinary EOA candidate; inclusion still depends on V1 deprecation, threshold policy and owner approval.</x:v>
      </x:c>
      <x:c r="U196" s="89" t="str">
        <x:v>https://etherscan.io/token/0x445d03f499f1c150615957bb87588fb465fc91cc#balances</x:v>
      </x:c>
      <x:c r="V196" s="89" t="b">
        <x:f>COUNTIF($C$6:$C$502,C196)&gt;1</x:f>
        <x:v>0</x:v>
      </x:c>
    </x:row>
    <x:row r="197">
      <x:c r="A197" s="89" t="n">
        <x:v>192</x:v>
      </x:c>
      <x:c r="B197" s="89" t="str">
        <x:v>v1-mainnet-0192</x:v>
      </x:c>
      <x:c r="C197" s="90" t="str">
        <x:v>0xe3cd802422d3715da08494b5554a931c3602090a</x:v>
      </x:c>
      <x:c r="D197" s="98" t="str"/>
      <x:c r="E197" s="98" t="str">
        <x:v>EOA_CANDIDATE</x:v>
      </x:c>
      <x:c r="F197" s="91" t="b">
        <x:v>0</x:v>
      </x:c>
      <x:c r="G197" s="89" t="n">
        <x:v>0</x:v>
      </x:c>
      <x:c r="H197" s="90" t="str">
        <x:v>8204700000000</x:v>
      </x:c>
      <x:c r="I197" s="92" t="n">
        <x:v>8.2047</x:v>
      </x:c>
      <x:c r="J197" s="92" t="str">
        <x:v>8204700000000000000</x:v>
      </x:c>
      <x:c r="K197" s="92" t="n">
        <x:v>8.2047</x:v>
      </x:c>
      <x:c r="L197" s="98" t="str">
        <x:v>PENDING_OWNER_ELIGIBILITY_APPROVAL</x:v>
      </x:c>
      <x:c r="M197" s="98" t="b">
        <x:f>IF(E197="EOA_CANDIDATE",I197&gt;='Decision Summary'!$B$11,FALSE)</x:f>
        <x:v>0</x:v>
      </x:c>
      <x:c r="N197" s="98" t="str">
        <x:f>IF(M197,"DRAFT INCLUDE","HOLD / EXCLUDE")</x:f>
        <x:v>HOLD / EXCLUDE</x:v>
      </x:c>
      <x:c r="O197" s="101" t="str">
        <x:f>IF(M197,C197,"")</x:f>
      </x:c>
      <x:c r="P197" s="98" t="str">
        <x:f>IF(N197="DRAFT INCLUDE",ROUNDUP(COUNTIF($N$6:N197,"DRAFT INCLUDE")/'Decision Summary'!$B$12,0),"")</x:f>
      </x:c>
      <x:c r="Q197" s="98" t="str">
        <x:f>IF(N197="DRAFT INCLUDE",MOD(COUNTIF($N$6:N197,"DRAFT INCLUDE")-1,'Decision Summary'!$B$12)+1,"")</x:f>
      </x:c>
      <x:c r="R197" s="98" t="str">
        <x:v>PENDING</x:v>
      </x:c>
      <x:c r="S197" s="98" t="str"/>
      <x:c r="T197" s="98" t="str">
        <x:v>Ordinary EOA candidate; inclusion still depends on V1 deprecation, threshold policy and owner approval.</x:v>
      </x:c>
      <x:c r="U197" s="89" t="str">
        <x:v>https://etherscan.io/token/0x445d03f499f1c150615957bb87588fb465fc91cc#balances</x:v>
      </x:c>
      <x:c r="V197" s="89" t="b">
        <x:f>COUNTIF($C$6:$C$502,C197)&gt;1</x:f>
        <x:v>0</x:v>
      </x:c>
    </x:row>
    <x:row r="198">
      <x:c r="A198" s="89" t="n">
        <x:v>193</x:v>
      </x:c>
      <x:c r="B198" s="89" t="str">
        <x:v>v1-mainnet-0193</x:v>
      </x:c>
      <x:c r="C198" s="90" t="str">
        <x:v>0x99ef1e7f167783968203d5cdb10cf07933b0e3db</x:v>
      </x:c>
      <x:c r="D198" s="98" t="str"/>
      <x:c r="E198" s="98" t="str">
        <x:v>EOA_CANDIDATE</x:v>
      </x:c>
      <x:c r="F198" s="91" t="b">
        <x:v>0</x:v>
      </x:c>
      <x:c r="G198" s="89" t="n">
        <x:v>0</x:v>
      </x:c>
      <x:c r="H198" s="90" t="str">
        <x:v>8183900000000</x:v>
      </x:c>
      <x:c r="I198" s="92" t="n">
        <x:v>8.1839</x:v>
      </x:c>
      <x:c r="J198" s="92" t="str">
        <x:v>8183900000000000000</x:v>
      </x:c>
      <x:c r="K198" s="92" t="n">
        <x:v>8.1839</x:v>
      </x:c>
      <x:c r="L198" s="98" t="str">
        <x:v>PENDING_OWNER_ELIGIBILITY_APPROVAL</x:v>
      </x:c>
      <x:c r="M198" s="98" t="b">
        <x:f>IF(E198="EOA_CANDIDATE",I198&gt;='Decision Summary'!$B$11,FALSE)</x:f>
        <x:v>0</x:v>
      </x:c>
      <x:c r="N198" s="98" t="str">
        <x:f>IF(M198,"DRAFT INCLUDE","HOLD / EXCLUDE")</x:f>
        <x:v>HOLD / EXCLUDE</x:v>
      </x:c>
      <x:c r="O198" s="101" t="str">
        <x:f>IF(M198,C198,"")</x:f>
      </x:c>
      <x:c r="P198" s="98" t="str">
        <x:f>IF(N198="DRAFT INCLUDE",ROUNDUP(COUNTIF($N$6:N198,"DRAFT INCLUDE")/'Decision Summary'!$B$12,0),"")</x:f>
      </x:c>
      <x:c r="Q198" s="98" t="str">
        <x:f>IF(N198="DRAFT INCLUDE",MOD(COUNTIF($N$6:N198,"DRAFT INCLUDE")-1,'Decision Summary'!$B$12)+1,"")</x:f>
      </x:c>
      <x:c r="R198" s="98" t="str">
        <x:v>PENDING</x:v>
      </x:c>
      <x:c r="S198" s="98" t="str"/>
      <x:c r="T198" s="98" t="str">
        <x:v>Ordinary EOA candidate; inclusion still depends on V1 deprecation, threshold policy and owner approval.</x:v>
      </x:c>
      <x:c r="U198" s="89" t="str">
        <x:v>https://etherscan.io/token/0x445d03f499f1c150615957bb87588fb465fc91cc#balances</x:v>
      </x:c>
      <x:c r="V198" s="89" t="b">
        <x:f>COUNTIF($C$6:$C$502,C198)&gt;1</x:f>
        <x:v>0</x:v>
      </x:c>
    </x:row>
    <x:row r="199">
      <x:c r="A199" s="89" t="n">
        <x:v>194</x:v>
      </x:c>
      <x:c r="B199" s="89" t="str">
        <x:v>v1-mainnet-0194</x:v>
      </x:c>
      <x:c r="C199" s="90" t="str">
        <x:v>0xd6927f56363a792abf049edf777511e22293c6a7</x:v>
      </x:c>
      <x:c r="D199" s="98" t="str"/>
      <x:c r="E199" s="98" t="str">
        <x:v>EOA_CANDIDATE</x:v>
      </x:c>
      <x:c r="F199" s="91" t="b">
        <x:v>0</x:v>
      </x:c>
      <x:c r="G199" s="89" t="n">
        <x:v>0</x:v>
      </x:c>
      <x:c r="H199" s="90" t="str">
        <x:v>8175500000000</x:v>
      </x:c>
      <x:c r="I199" s="92" t="n">
        <x:v>8.1755</x:v>
      </x:c>
      <x:c r="J199" s="92" t="str">
        <x:v>8175500000000000000</x:v>
      </x:c>
      <x:c r="K199" s="92" t="n">
        <x:v>8.1755</x:v>
      </x:c>
      <x:c r="L199" s="98" t="str">
        <x:v>PENDING_OWNER_ELIGIBILITY_APPROVAL</x:v>
      </x:c>
      <x:c r="M199" s="98" t="b">
        <x:f>IF(E199="EOA_CANDIDATE",I199&gt;='Decision Summary'!$B$11,FALSE)</x:f>
        <x:v>0</x:v>
      </x:c>
      <x:c r="N199" s="98" t="str">
        <x:f>IF(M199,"DRAFT INCLUDE","HOLD / EXCLUDE")</x:f>
        <x:v>HOLD / EXCLUDE</x:v>
      </x:c>
      <x:c r="O199" s="101" t="str">
        <x:f>IF(M199,C199,"")</x:f>
      </x:c>
      <x:c r="P199" s="98" t="str">
        <x:f>IF(N199="DRAFT INCLUDE",ROUNDUP(COUNTIF($N$6:N199,"DRAFT INCLUDE")/'Decision Summary'!$B$12,0),"")</x:f>
      </x:c>
      <x:c r="Q199" s="98" t="str">
        <x:f>IF(N199="DRAFT INCLUDE",MOD(COUNTIF($N$6:N199,"DRAFT INCLUDE")-1,'Decision Summary'!$B$12)+1,"")</x:f>
      </x:c>
      <x:c r="R199" s="98" t="str">
        <x:v>PENDING</x:v>
      </x:c>
      <x:c r="S199" s="98" t="str"/>
      <x:c r="T199" s="98" t="str">
        <x:v>Ordinary EOA candidate; inclusion still depends on V1 deprecation, threshold policy and owner approval.</x:v>
      </x:c>
      <x:c r="U199" s="89" t="str">
        <x:v>https://etherscan.io/token/0x445d03f499f1c150615957bb87588fb465fc91cc#balances</x:v>
      </x:c>
      <x:c r="V199" s="89" t="b">
        <x:f>COUNTIF($C$6:$C$502,C199)&gt;1</x:f>
        <x:v>0</x:v>
      </x:c>
    </x:row>
    <x:row r="200">
      <x:c r="A200" s="89" t="n">
        <x:v>195</x:v>
      </x:c>
      <x:c r="B200" s="89" t="str">
        <x:v>v1-mainnet-0195</x:v>
      </x:c>
      <x:c r="C200" s="90" t="str">
        <x:v>0x406e7c64eee5d9d15895a4437ec53b3d60994f9b</x:v>
      </x:c>
      <x:c r="D200" s="98" t="str"/>
      <x:c r="E200" s="98" t="str">
        <x:v>EOA_CANDIDATE</x:v>
      </x:c>
      <x:c r="F200" s="91" t="b">
        <x:v>0</x:v>
      </x:c>
      <x:c r="G200" s="89" t="n">
        <x:v>0</x:v>
      </x:c>
      <x:c r="H200" s="90" t="str">
        <x:v>8169100000000</x:v>
      </x:c>
      <x:c r="I200" s="92" t="n">
        <x:v>8.1691</x:v>
      </x:c>
      <x:c r="J200" s="92" t="str">
        <x:v>8169100000000000000</x:v>
      </x:c>
      <x:c r="K200" s="92" t="n">
        <x:v>8.1691</x:v>
      </x:c>
      <x:c r="L200" s="98" t="str">
        <x:v>PENDING_OWNER_ELIGIBILITY_APPROVAL</x:v>
      </x:c>
      <x:c r="M200" s="98" t="b">
        <x:f>IF(E200="EOA_CANDIDATE",I200&gt;='Decision Summary'!$B$11,FALSE)</x:f>
        <x:v>0</x:v>
      </x:c>
      <x:c r="N200" s="98" t="str">
        <x:f>IF(M200,"DRAFT INCLUDE","HOLD / EXCLUDE")</x:f>
        <x:v>HOLD / EXCLUDE</x:v>
      </x:c>
      <x:c r="O200" s="101" t="str">
        <x:f>IF(M200,C200,"")</x:f>
      </x:c>
      <x:c r="P200" s="98" t="str">
        <x:f>IF(N200="DRAFT INCLUDE",ROUNDUP(COUNTIF($N$6:N200,"DRAFT INCLUDE")/'Decision Summary'!$B$12,0),"")</x:f>
      </x:c>
      <x:c r="Q200" s="98" t="str">
        <x:f>IF(N200="DRAFT INCLUDE",MOD(COUNTIF($N$6:N200,"DRAFT INCLUDE")-1,'Decision Summary'!$B$12)+1,"")</x:f>
      </x:c>
      <x:c r="R200" s="98" t="str">
        <x:v>PENDING</x:v>
      </x:c>
      <x:c r="S200" s="98" t="str"/>
      <x:c r="T200" s="98" t="str">
        <x:v>Ordinary EOA candidate; inclusion still depends on V1 deprecation, threshold policy and owner approval.</x:v>
      </x:c>
      <x:c r="U200" s="89" t="str">
        <x:v>https://etherscan.io/token/0x445d03f499f1c150615957bb87588fb465fc91cc#balances</x:v>
      </x:c>
      <x:c r="V200" s="89" t="b">
        <x:f>COUNTIF($C$6:$C$502,C200)&gt;1</x:f>
        <x:v>0</x:v>
      </x:c>
    </x:row>
    <x:row r="201">
      <x:c r="A201" s="89" t="n">
        <x:v>196</x:v>
      </x:c>
      <x:c r="B201" s="89" t="str">
        <x:v>v1-mainnet-0196</x:v>
      </x:c>
      <x:c r="C201" s="90" t="str">
        <x:v>0xb3e5e468b58ec660ffbe916629d5238a6c894db6</x:v>
      </x:c>
      <x:c r="D201" s="98" t="str"/>
      <x:c r="E201" s="98" t="str">
        <x:v>EOA_CANDIDATE</x:v>
      </x:c>
      <x:c r="F201" s="91" t="b">
        <x:v>0</x:v>
      </x:c>
      <x:c r="G201" s="89" t="n">
        <x:v>0</x:v>
      </x:c>
      <x:c r="H201" s="90" t="str">
        <x:v>8149400000000</x:v>
      </x:c>
      <x:c r="I201" s="92" t="n">
        <x:v>8.1494</x:v>
      </x:c>
      <x:c r="J201" s="92" t="str">
        <x:v>8149400000000000000</x:v>
      </x:c>
      <x:c r="K201" s="92" t="n">
        <x:v>8.1494</x:v>
      </x:c>
      <x:c r="L201" s="98" t="str">
        <x:v>PENDING_OWNER_ELIGIBILITY_APPROVAL</x:v>
      </x:c>
      <x:c r="M201" s="98" t="b">
        <x:f>IF(E201="EOA_CANDIDATE",I201&gt;='Decision Summary'!$B$11,FALSE)</x:f>
        <x:v>0</x:v>
      </x:c>
      <x:c r="N201" s="98" t="str">
        <x:f>IF(M201,"DRAFT INCLUDE","HOLD / EXCLUDE")</x:f>
        <x:v>HOLD / EXCLUDE</x:v>
      </x:c>
      <x:c r="O201" s="101" t="str">
        <x:f>IF(M201,C201,"")</x:f>
      </x:c>
      <x:c r="P201" s="98" t="str">
        <x:f>IF(N201="DRAFT INCLUDE",ROUNDUP(COUNTIF($N$6:N201,"DRAFT INCLUDE")/'Decision Summary'!$B$12,0),"")</x:f>
      </x:c>
      <x:c r="Q201" s="98" t="str">
        <x:f>IF(N201="DRAFT INCLUDE",MOD(COUNTIF($N$6:N201,"DRAFT INCLUDE")-1,'Decision Summary'!$B$12)+1,"")</x:f>
      </x:c>
      <x:c r="R201" s="98" t="str">
        <x:v>PENDING</x:v>
      </x:c>
      <x:c r="S201" s="98" t="str"/>
      <x:c r="T201" s="98" t="str">
        <x:v>Ordinary EOA candidate; inclusion still depends on V1 deprecation, threshold policy and owner approval.</x:v>
      </x:c>
      <x:c r="U201" s="89" t="str">
        <x:v>https://etherscan.io/token/0x445d03f499f1c150615957bb87588fb465fc91cc#balances</x:v>
      </x:c>
      <x:c r="V201" s="89" t="b">
        <x:f>COUNTIF($C$6:$C$502,C201)&gt;1</x:f>
        <x:v>0</x:v>
      </x:c>
    </x:row>
    <x:row r="202">
      <x:c r="A202" s="89" t="n">
        <x:v>197</x:v>
      </x:c>
      <x:c r="B202" s="89" t="str">
        <x:v>v1-mainnet-0197</x:v>
      </x:c>
      <x:c r="C202" s="90" t="str">
        <x:v>0x85d1e890ad37a04f65c1975bedb24161f4777e82</x:v>
      </x:c>
      <x:c r="D202" s="98" t="str"/>
      <x:c r="E202" s="98" t="str">
        <x:v>EOA_CANDIDATE</x:v>
      </x:c>
      <x:c r="F202" s="91" t="b">
        <x:v>0</x:v>
      </x:c>
      <x:c r="G202" s="89" t="n">
        <x:v>0</x:v>
      </x:c>
      <x:c r="H202" s="90" t="str">
        <x:v>8124200000000</x:v>
      </x:c>
      <x:c r="I202" s="92" t="n">
        <x:v>8.1242</x:v>
      </x:c>
      <x:c r="J202" s="92" t="str">
        <x:v>8124200000000000000</x:v>
      </x:c>
      <x:c r="K202" s="92" t="n">
        <x:v>8.1242</x:v>
      </x:c>
      <x:c r="L202" s="98" t="str">
        <x:v>PENDING_OWNER_ELIGIBILITY_APPROVAL</x:v>
      </x:c>
      <x:c r="M202" s="98" t="b">
        <x:f>IF(E202="EOA_CANDIDATE",I202&gt;='Decision Summary'!$B$11,FALSE)</x:f>
        <x:v>0</x:v>
      </x:c>
      <x:c r="N202" s="98" t="str">
        <x:f>IF(M202,"DRAFT INCLUDE","HOLD / EXCLUDE")</x:f>
        <x:v>HOLD / EXCLUDE</x:v>
      </x:c>
      <x:c r="O202" s="101" t="str">
        <x:f>IF(M202,C202,"")</x:f>
      </x:c>
      <x:c r="P202" s="98" t="str">
        <x:f>IF(N202="DRAFT INCLUDE",ROUNDUP(COUNTIF($N$6:N202,"DRAFT INCLUDE")/'Decision Summary'!$B$12,0),"")</x:f>
      </x:c>
      <x:c r="Q202" s="98" t="str">
        <x:f>IF(N202="DRAFT INCLUDE",MOD(COUNTIF($N$6:N202,"DRAFT INCLUDE")-1,'Decision Summary'!$B$12)+1,"")</x:f>
      </x:c>
      <x:c r="R202" s="98" t="str">
        <x:v>PENDING</x:v>
      </x:c>
      <x:c r="S202" s="98" t="str"/>
      <x:c r="T202" s="98" t="str">
        <x:v>Ordinary EOA candidate; inclusion still depends on V1 deprecation, threshold policy and owner approval.</x:v>
      </x:c>
      <x:c r="U202" s="89" t="str">
        <x:v>https://etherscan.io/token/0x445d03f499f1c150615957bb87588fb465fc91cc#balances</x:v>
      </x:c>
      <x:c r="V202" s="89" t="b">
        <x:f>COUNTIF($C$6:$C$502,C202)&gt;1</x:f>
        <x:v>0</x:v>
      </x:c>
    </x:row>
    <x:row r="203">
      <x:c r="A203" s="89" t="n">
        <x:v>198</x:v>
      </x:c>
      <x:c r="B203" s="89" t="str">
        <x:v>v1-mainnet-0198</x:v>
      </x:c>
      <x:c r="C203" s="90" t="str">
        <x:v>0x226e72179e4bfed090a48c3701602dd4f2ae0a1a</x:v>
      </x:c>
      <x:c r="D203" s="98" t="str"/>
      <x:c r="E203" s="98" t="str">
        <x:v>EOA_CANDIDATE</x:v>
      </x:c>
      <x:c r="F203" s="91" t="b">
        <x:v>0</x:v>
      </x:c>
      <x:c r="G203" s="89" t="n">
        <x:v>0</x:v>
      </x:c>
      <x:c r="H203" s="90" t="str">
        <x:v>8105400000000</x:v>
      </x:c>
      <x:c r="I203" s="92" t="n">
        <x:v>8.1054</x:v>
      </x:c>
      <x:c r="J203" s="92" t="str">
        <x:v>8105400000000000000</x:v>
      </x:c>
      <x:c r="K203" s="92" t="n">
        <x:v>8.1054</x:v>
      </x:c>
      <x:c r="L203" s="98" t="str">
        <x:v>PENDING_OWNER_ELIGIBILITY_APPROVAL</x:v>
      </x:c>
      <x:c r="M203" s="98" t="b">
        <x:f>IF(E203="EOA_CANDIDATE",I203&gt;='Decision Summary'!$B$11,FALSE)</x:f>
        <x:v>0</x:v>
      </x:c>
      <x:c r="N203" s="98" t="str">
        <x:f>IF(M203,"DRAFT INCLUDE","HOLD / EXCLUDE")</x:f>
        <x:v>HOLD / EXCLUDE</x:v>
      </x:c>
      <x:c r="O203" s="101" t="str">
        <x:f>IF(M203,C203,"")</x:f>
      </x:c>
      <x:c r="P203" s="98" t="str">
        <x:f>IF(N203="DRAFT INCLUDE",ROUNDUP(COUNTIF($N$6:N203,"DRAFT INCLUDE")/'Decision Summary'!$B$12,0),"")</x:f>
      </x:c>
      <x:c r="Q203" s="98" t="str">
        <x:f>IF(N203="DRAFT INCLUDE",MOD(COUNTIF($N$6:N203,"DRAFT INCLUDE")-1,'Decision Summary'!$B$12)+1,"")</x:f>
      </x:c>
      <x:c r="R203" s="98" t="str">
        <x:v>PENDING</x:v>
      </x:c>
      <x:c r="S203" s="98" t="str"/>
      <x:c r="T203" s="98" t="str">
        <x:v>Ordinary EOA candidate; inclusion still depends on V1 deprecation, threshold policy and owner approval.</x:v>
      </x:c>
      <x:c r="U203" s="89" t="str">
        <x:v>https://etherscan.io/token/0x445d03f499f1c150615957bb87588fb465fc91cc#balances</x:v>
      </x:c>
      <x:c r="V203" s="89" t="b">
        <x:f>COUNTIF($C$6:$C$502,C203)&gt;1</x:f>
        <x:v>0</x:v>
      </x:c>
    </x:row>
    <x:row r="204">
      <x:c r="A204" s="89" t="n">
        <x:v>199</x:v>
      </x:c>
      <x:c r="B204" s="89" t="str">
        <x:v>v1-mainnet-0199</x:v>
      </x:c>
      <x:c r="C204" s="90" t="str">
        <x:v>0xe32a4fe7a0a51a7fdc69ed514165cbad8553a7cf</x:v>
      </x:c>
      <x:c r="D204" s="98" t="str"/>
      <x:c r="E204" s="98" t="str">
        <x:v>EOA_CANDIDATE</x:v>
      </x:c>
      <x:c r="F204" s="91" t="b">
        <x:v>0</x:v>
      </x:c>
      <x:c r="G204" s="89" t="n">
        <x:v>0</x:v>
      </x:c>
      <x:c r="H204" s="90" t="str">
        <x:v>8083600000000</x:v>
      </x:c>
      <x:c r="I204" s="92" t="n">
        <x:v>8.0836</x:v>
      </x:c>
      <x:c r="J204" s="92" t="str">
        <x:v>8083600000000000000</x:v>
      </x:c>
      <x:c r="K204" s="92" t="n">
        <x:v>8.0836</x:v>
      </x:c>
      <x:c r="L204" s="98" t="str">
        <x:v>PENDING_OWNER_ELIGIBILITY_APPROVAL</x:v>
      </x:c>
      <x:c r="M204" s="98" t="b">
        <x:f>IF(E204="EOA_CANDIDATE",I204&gt;='Decision Summary'!$B$11,FALSE)</x:f>
        <x:v>0</x:v>
      </x:c>
      <x:c r="N204" s="98" t="str">
        <x:f>IF(M204,"DRAFT INCLUDE","HOLD / EXCLUDE")</x:f>
        <x:v>HOLD / EXCLUDE</x:v>
      </x:c>
      <x:c r="O204" s="101" t="str">
        <x:f>IF(M204,C204,"")</x:f>
      </x:c>
      <x:c r="P204" s="98" t="str">
        <x:f>IF(N204="DRAFT INCLUDE",ROUNDUP(COUNTIF($N$6:N204,"DRAFT INCLUDE")/'Decision Summary'!$B$12,0),"")</x:f>
      </x:c>
      <x:c r="Q204" s="98" t="str">
        <x:f>IF(N204="DRAFT INCLUDE",MOD(COUNTIF($N$6:N204,"DRAFT INCLUDE")-1,'Decision Summary'!$B$12)+1,"")</x:f>
      </x:c>
      <x:c r="R204" s="98" t="str">
        <x:v>PENDING</x:v>
      </x:c>
      <x:c r="S204" s="98" t="str"/>
      <x:c r="T204" s="98" t="str">
        <x:v>Ordinary EOA candidate; inclusion still depends on V1 deprecation, threshold policy and owner approval.</x:v>
      </x:c>
      <x:c r="U204" s="89" t="str">
        <x:v>https://etherscan.io/token/0x445d03f499f1c150615957bb87588fb465fc91cc#balances</x:v>
      </x:c>
      <x:c r="V204" s="89" t="b">
        <x:f>COUNTIF($C$6:$C$502,C204)&gt;1</x:f>
        <x:v>0</x:v>
      </x:c>
    </x:row>
    <x:row r="205">
      <x:c r="A205" s="89" t="n">
        <x:v>200</x:v>
      </x:c>
      <x:c r="B205" s="89" t="str">
        <x:v>v1-mainnet-0200</x:v>
      </x:c>
      <x:c r="C205" s="90" t="str">
        <x:v>0x94d2522b5832e0bd3800f7632c7202296201801d</x:v>
      </x:c>
      <x:c r="D205" s="98" t="str"/>
      <x:c r="E205" s="98" t="str">
        <x:v>EOA_CANDIDATE</x:v>
      </x:c>
      <x:c r="F205" s="91" t="b">
        <x:v>0</x:v>
      </x:c>
      <x:c r="G205" s="89" t="n">
        <x:v>0</x:v>
      </x:c>
      <x:c r="H205" s="90" t="str">
        <x:v>8082921172768</x:v>
      </x:c>
      <x:c r="I205" s="92" t="n">
        <x:v>8.082921172768</x:v>
      </x:c>
      <x:c r="J205" s="92" t="str">
        <x:v>8082921172768000000</x:v>
      </x:c>
      <x:c r="K205" s="92" t="n">
        <x:v>8.082921172768</x:v>
      </x:c>
      <x:c r="L205" s="98" t="str">
        <x:v>PENDING_OWNER_ELIGIBILITY_APPROVAL</x:v>
      </x:c>
      <x:c r="M205" s="98" t="b">
        <x:f>IF(E205="EOA_CANDIDATE",I205&gt;='Decision Summary'!$B$11,FALSE)</x:f>
        <x:v>0</x:v>
      </x:c>
      <x:c r="N205" s="98" t="str">
        <x:f>IF(M205,"DRAFT INCLUDE","HOLD / EXCLUDE")</x:f>
        <x:v>HOLD / EXCLUDE</x:v>
      </x:c>
      <x:c r="O205" s="101" t="str">
        <x:f>IF(M205,C205,"")</x:f>
      </x:c>
      <x:c r="P205" s="98" t="str">
        <x:f>IF(N205="DRAFT INCLUDE",ROUNDUP(COUNTIF($N$6:N205,"DRAFT INCLUDE")/'Decision Summary'!$B$12,0),"")</x:f>
      </x:c>
      <x:c r="Q205" s="98" t="str">
        <x:f>IF(N205="DRAFT INCLUDE",MOD(COUNTIF($N$6:N205,"DRAFT INCLUDE")-1,'Decision Summary'!$B$12)+1,"")</x:f>
      </x:c>
      <x:c r="R205" s="98" t="str">
        <x:v>PENDING</x:v>
      </x:c>
      <x:c r="S205" s="98" t="str"/>
      <x:c r="T205" s="98" t="str">
        <x:v>Ordinary EOA candidate; inclusion still depends on V1 deprecation, threshold policy and owner approval.</x:v>
      </x:c>
      <x:c r="U205" s="89" t="str">
        <x:v>https://etherscan.io/token/0x445d03f499f1c150615957bb87588fb465fc91cc#balances</x:v>
      </x:c>
      <x:c r="V205" s="89" t="b">
        <x:f>COUNTIF($C$6:$C$502,C205)&gt;1</x:f>
        <x:v>0</x:v>
      </x:c>
    </x:row>
    <x:row r="206">
      <x:c r="A206" s="89" t="n">
        <x:v>201</x:v>
      </x:c>
      <x:c r="B206" s="89" t="str">
        <x:v>v1-mainnet-0201</x:v>
      </x:c>
      <x:c r="C206" s="90" t="str">
        <x:v>0xbe604b871ebaad4dbd1a5f0f892bd1bafcce09e2</x:v>
      </x:c>
      <x:c r="D206" s="98" t="str"/>
      <x:c r="E206" s="98" t="str">
        <x:v>EOA_CANDIDATE</x:v>
      </x:c>
      <x:c r="F206" s="91" t="b">
        <x:v>0</x:v>
      </x:c>
      <x:c r="G206" s="89" t="n">
        <x:v>0</x:v>
      </x:c>
      <x:c r="H206" s="90" t="str">
        <x:v>8062300000000</x:v>
      </x:c>
      <x:c r="I206" s="92" t="n">
        <x:v>8.0623</x:v>
      </x:c>
      <x:c r="J206" s="92" t="str">
        <x:v>8062300000000000000</x:v>
      </x:c>
      <x:c r="K206" s="92" t="n">
        <x:v>8.0623</x:v>
      </x:c>
      <x:c r="L206" s="98" t="str">
        <x:v>PENDING_OWNER_ELIGIBILITY_APPROVAL</x:v>
      </x:c>
      <x:c r="M206" s="98" t="b">
        <x:f>IF(E206="EOA_CANDIDATE",I206&gt;='Decision Summary'!$B$11,FALSE)</x:f>
        <x:v>0</x:v>
      </x:c>
      <x:c r="N206" s="98" t="str">
        <x:f>IF(M206,"DRAFT INCLUDE","HOLD / EXCLUDE")</x:f>
        <x:v>HOLD / EXCLUDE</x:v>
      </x:c>
      <x:c r="O206" s="101" t="str">
        <x:f>IF(M206,C206,"")</x:f>
      </x:c>
      <x:c r="P206" s="98" t="str">
        <x:f>IF(N206="DRAFT INCLUDE",ROUNDUP(COUNTIF($N$6:N206,"DRAFT INCLUDE")/'Decision Summary'!$B$12,0),"")</x:f>
      </x:c>
      <x:c r="Q206" s="98" t="str">
        <x:f>IF(N206="DRAFT INCLUDE",MOD(COUNTIF($N$6:N206,"DRAFT INCLUDE")-1,'Decision Summary'!$B$12)+1,"")</x:f>
      </x:c>
      <x:c r="R206" s="98" t="str">
        <x:v>PENDING</x:v>
      </x:c>
      <x:c r="S206" s="98" t="str"/>
      <x:c r="T206" s="98" t="str">
        <x:v>Ordinary EOA candidate; inclusion still depends on V1 deprecation, threshold policy and owner approval.</x:v>
      </x:c>
      <x:c r="U206" s="89" t="str">
        <x:v>https://etherscan.io/token/0x445d03f499f1c150615957bb87588fb465fc91cc#balances</x:v>
      </x:c>
      <x:c r="V206" s="89" t="b">
        <x:f>COUNTIF($C$6:$C$502,C206)&gt;1</x:f>
        <x:v>0</x:v>
      </x:c>
    </x:row>
    <x:row r="207">
      <x:c r="A207" s="89" t="n">
        <x:v>202</x:v>
      </x:c>
      <x:c r="B207" s="89" t="str">
        <x:v>v1-mainnet-0202</x:v>
      </x:c>
      <x:c r="C207" s="90" t="str">
        <x:v>0x87bb418ccdaa96232bad15c1a1384a8b6b10caa4</x:v>
      </x:c>
      <x:c r="D207" s="98" t="str"/>
      <x:c r="E207" s="98" t="str">
        <x:v>EOA_CANDIDATE</x:v>
      </x:c>
      <x:c r="F207" s="91" t="b">
        <x:v>0</x:v>
      </x:c>
      <x:c r="G207" s="89" t="n">
        <x:v>0</x:v>
      </x:c>
      <x:c r="H207" s="90" t="str">
        <x:v>8038700000000</x:v>
      </x:c>
      <x:c r="I207" s="92" t="n">
        <x:v>8.0387</x:v>
      </x:c>
      <x:c r="J207" s="92" t="str">
        <x:v>8038700000000000000</x:v>
      </x:c>
      <x:c r="K207" s="92" t="n">
        <x:v>8.0387</x:v>
      </x:c>
      <x:c r="L207" s="98" t="str">
        <x:v>PENDING_OWNER_ELIGIBILITY_APPROVAL</x:v>
      </x:c>
      <x:c r="M207" s="98" t="b">
        <x:f>IF(E207="EOA_CANDIDATE",I207&gt;='Decision Summary'!$B$11,FALSE)</x:f>
        <x:v>0</x:v>
      </x:c>
      <x:c r="N207" s="98" t="str">
        <x:f>IF(M207,"DRAFT INCLUDE","HOLD / EXCLUDE")</x:f>
        <x:v>HOLD / EXCLUDE</x:v>
      </x:c>
      <x:c r="O207" s="101" t="str">
        <x:f>IF(M207,C207,"")</x:f>
      </x:c>
      <x:c r="P207" s="98" t="str">
        <x:f>IF(N207="DRAFT INCLUDE",ROUNDUP(COUNTIF($N$6:N207,"DRAFT INCLUDE")/'Decision Summary'!$B$12,0),"")</x:f>
      </x:c>
      <x:c r="Q207" s="98" t="str">
        <x:f>IF(N207="DRAFT INCLUDE",MOD(COUNTIF($N$6:N207,"DRAFT INCLUDE")-1,'Decision Summary'!$B$12)+1,"")</x:f>
      </x:c>
      <x:c r="R207" s="98" t="str">
        <x:v>PENDING</x:v>
      </x:c>
      <x:c r="S207" s="98" t="str"/>
      <x:c r="T207" s="98" t="str">
        <x:v>Ordinary EOA candidate; inclusion still depends on V1 deprecation, threshold policy and owner approval.</x:v>
      </x:c>
      <x:c r="U207" s="89" t="str">
        <x:v>https://etherscan.io/token/0x445d03f499f1c150615957bb87588fb465fc91cc#balances</x:v>
      </x:c>
      <x:c r="V207" s="89" t="b">
        <x:f>COUNTIF($C$6:$C$502,C207)&gt;1</x:f>
        <x:v>0</x:v>
      </x:c>
    </x:row>
    <x:row r="208">
      <x:c r="A208" s="89" t="n">
        <x:v>203</x:v>
      </x:c>
      <x:c r="B208" s="89" t="str">
        <x:v>v1-mainnet-0203</x:v>
      </x:c>
      <x:c r="C208" s="90" t="str">
        <x:v>0xf919babcbb14b631e380eb60c06d11bab8446f0a</x:v>
      </x:c>
      <x:c r="D208" s="98" t="str"/>
      <x:c r="E208" s="98" t="str">
        <x:v>EOA_CANDIDATE</x:v>
      </x:c>
      <x:c r="F208" s="91" t="b">
        <x:v>0</x:v>
      </x:c>
      <x:c r="G208" s="89" t="n">
        <x:v>0</x:v>
      </x:c>
      <x:c r="H208" s="90" t="str">
        <x:v>8028200000000</x:v>
      </x:c>
      <x:c r="I208" s="92" t="n">
        <x:v>8.0282</x:v>
      </x:c>
      <x:c r="J208" s="92" t="str">
        <x:v>8028200000000000000</x:v>
      </x:c>
      <x:c r="K208" s="92" t="n">
        <x:v>8.0282</x:v>
      </x:c>
      <x:c r="L208" s="98" t="str">
        <x:v>PENDING_OWNER_ELIGIBILITY_APPROVAL</x:v>
      </x:c>
      <x:c r="M208" s="98" t="b">
        <x:f>IF(E208="EOA_CANDIDATE",I208&gt;='Decision Summary'!$B$11,FALSE)</x:f>
        <x:v>0</x:v>
      </x:c>
      <x:c r="N208" s="98" t="str">
        <x:f>IF(M208,"DRAFT INCLUDE","HOLD / EXCLUDE")</x:f>
        <x:v>HOLD / EXCLUDE</x:v>
      </x:c>
      <x:c r="O208" s="101" t="str">
        <x:f>IF(M208,C208,"")</x:f>
      </x:c>
      <x:c r="P208" s="98" t="str">
        <x:f>IF(N208="DRAFT INCLUDE",ROUNDUP(COUNTIF($N$6:N208,"DRAFT INCLUDE")/'Decision Summary'!$B$12,0),"")</x:f>
      </x:c>
      <x:c r="Q208" s="98" t="str">
        <x:f>IF(N208="DRAFT INCLUDE",MOD(COUNTIF($N$6:N208,"DRAFT INCLUDE")-1,'Decision Summary'!$B$12)+1,"")</x:f>
      </x:c>
      <x:c r="R208" s="98" t="str">
        <x:v>PENDING</x:v>
      </x:c>
      <x:c r="S208" s="98" t="str"/>
      <x:c r="T208" s="98" t="str">
        <x:v>Ordinary EOA candidate; inclusion still depends on V1 deprecation, threshold policy and owner approval.</x:v>
      </x:c>
      <x:c r="U208" s="89" t="str">
        <x:v>https://etherscan.io/token/0x445d03f499f1c150615957bb87588fb465fc91cc#balances</x:v>
      </x:c>
      <x:c r="V208" s="89" t="b">
        <x:f>COUNTIF($C$6:$C$502,C208)&gt;1</x:f>
        <x:v>0</x:v>
      </x:c>
    </x:row>
    <x:row r="209">
      <x:c r="A209" s="89" t="n">
        <x:v>204</x:v>
      </x:c>
      <x:c r="B209" s="89" t="str">
        <x:v>v1-mainnet-0204</x:v>
      </x:c>
      <x:c r="C209" s="90" t="str">
        <x:v>0xb4987aff59d4dd772ac6b109c191a33c23d14981</x:v>
      </x:c>
      <x:c r="D209" s="98" t="str"/>
      <x:c r="E209" s="98" t="str">
        <x:v>EOA_CANDIDATE</x:v>
      </x:c>
      <x:c r="F209" s="91" t="b">
        <x:v>0</x:v>
      </x:c>
      <x:c r="G209" s="89" t="n">
        <x:v>0</x:v>
      </x:c>
      <x:c r="H209" s="90" t="str">
        <x:v>8022400000000</x:v>
      </x:c>
      <x:c r="I209" s="92" t="n">
        <x:v>8.0224</x:v>
      </x:c>
      <x:c r="J209" s="92" t="str">
        <x:v>8022400000000000000</x:v>
      </x:c>
      <x:c r="K209" s="92" t="n">
        <x:v>8.0224</x:v>
      </x:c>
      <x:c r="L209" s="98" t="str">
        <x:v>PENDING_OWNER_ELIGIBILITY_APPROVAL</x:v>
      </x:c>
      <x:c r="M209" s="98" t="b">
        <x:f>IF(E209="EOA_CANDIDATE",I209&gt;='Decision Summary'!$B$11,FALSE)</x:f>
        <x:v>0</x:v>
      </x:c>
      <x:c r="N209" s="98" t="str">
        <x:f>IF(M209,"DRAFT INCLUDE","HOLD / EXCLUDE")</x:f>
        <x:v>HOLD / EXCLUDE</x:v>
      </x:c>
      <x:c r="O209" s="101" t="str">
        <x:f>IF(M209,C209,"")</x:f>
      </x:c>
      <x:c r="P209" s="98" t="str">
        <x:f>IF(N209="DRAFT INCLUDE",ROUNDUP(COUNTIF($N$6:N209,"DRAFT INCLUDE")/'Decision Summary'!$B$12,0),"")</x:f>
      </x:c>
      <x:c r="Q209" s="98" t="str">
        <x:f>IF(N209="DRAFT INCLUDE",MOD(COUNTIF($N$6:N209,"DRAFT INCLUDE")-1,'Decision Summary'!$B$12)+1,"")</x:f>
      </x:c>
      <x:c r="R209" s="98" t="str">
        <x:v>PENDING</x:v>
      </x:c>
      <x:c r="S209" s="98" t="str"/>
      <x:c r="T209" s="98" t="str">
        <x:v>Ordinary EOA candidate; inclusion still depends on V1 deprecation, threshold policy and owner approval.</x:v>
      </x:c>
      <x:c r="U209" s="89" t="str">
        <x:v>https://etherscan.io/token/0x445d03f499f1c150615957bb87588fb465fc91cc#balances</x:v>
      </x:c>
      <x:c r="V209" s="89" t="b">
        <x:f>COUNTIF($C$6:$C$502,C209)&gt;1</x:f>
        <x:v>0</x:v>
      </x:c>
    </x:row>
    <x:row r="210">
      <x:c r="A210" s="89" t="n">
        <x:v>205</x:v>
      </x:c>
      <x:c r="B210" s="89" t="str">
        <x:v>v1-mainnet-0205</x:v>
      </x:c>
      <x:c r="C210" s="90" t="str">
        <x:v>0x887935d116609d19ef0b165c5f59b34aa7d03e55</x:v>
      </x:c>
      <x:c r="D210" s="98" t="str"/>
      <x:c r="E210" s="98" t="str">
        <x:v>EOA_CANDIDATE</x:v>
      </x:c>
      <x:c r="F210" s="91" t="b">
        <x:v>0</x:v>
      </x:c>
      <x:c r="G210" s="89" t="n">
        <x:v>0</x:v>
      </x:c>
      <x:c r="H210" s="90" t="str">
        <x:v>8019400000000</x:v>
      </x:c>
      <x:c r="I210" s="92" t="n">
        <x:v>8.0194</x:v>
      </x:c>
      <x:c r="J210" s="92" t="str">
        <x:v>8019400000000000000</x:v>
      </x:c>
      <x:c r="K210" s="92" t="n">
        <x:v>8.0194</x:v>
      </x:c>
      <x:c r="L210" s="98" t="str">
        <x:v>PENDING_OWNER_ELIGIBILITY_APPROVAL</x:v>
      </x:c>
      <x:c r="M210" s="98" t="b">
        <x:f>IF(E210="EOA_CANDIDATE",I210&gt;='Decision Summary'!$B$11,FALSE)</x:f>
        <x:v>0</x:v>
      </x:c>
      <x:c r="N210" s="98" t="str">
        <x:f>IF(M210,"DRAFT INCLUDE","HOLD / EXCLUDE")</x:f>
        <x:v>HOLD / EXCLUDE</x:v>
      </x:c>
      <x:c r="O210" s="101" t="str">
        <x:f>IF(M210,C210,"")</x:f>
      </x:c>
      <x:c r="P210" s="98" t="str">
        <x:f>IF(N210="DRAFT INCLUDE",ROUNDUP(COUNTIF($N$6:N210,"DRAFT INCLUDE")/'Decision Summary'!$B$12,0),"")</x:f>
      </x:c>
      <x:c r="Q210" s="98" t="str">
        <x:f>IF(N210="DRAFT INCLUDE",MOD(COUNTIF($N$6:N210,"DRAFT INCLUDE")-1,'Decision Summary'!$B$12)+1,"")</x:f>
      </x:c>
      <x:c r="R210" s="98" t="str">
        <x:v>PENDING</x:v>
      </x:c>
      <x:c r="S210" s="98" t="str"/>
      <x:c r="T210" s="98" t="str">
        <x:v>Ordinary EOA candidate; inclusion still depends on V1 deprecation, threshold policy and owner approval.</x:v>
      </x:c>
      <x:c r="U210" s="89" t="str">
        <x:v>https://etherscan.io/token/0x445d03f499f1c150615957bb87588fb465fc91cc#balances</x:v>
      </x:c>
      <x:c r="V210" s="89" t="b">
        <x:f>COUNTIF($C$6:$C$502,C210)&gt;1</x:f>
        <x:v>0</x:v>
      </x:c>
    </x:row>
    <x:row r="211">
      <x:c r="A211" s="89" t="n">
        <x:v>206</x:v>
      </x:c>
      <x:c r="B211" s="89" t="str">
        <x:v>v1-mainnet-0206</x:v>
      </x:c>
      <x:c r="C211" s="90" t="str">
        <x:v>0x13c17312164d4aef4ba70cc84050a6a6d64377ac</x:v>
      </x:c>
      <x:c r="D211" s="98" t="str"/>
      <x:c r="E211" s="98" t="str">
        <x:v>EOA_CANDIDATE</x:v>
      </x:c>
      <x:c r="F211" s="91" t="b">
        <x:v>0</x:v>
      </x:c>
      <x:c r="G211" s="89" t="n">
        <x:v>0</x:v>
      </x:c>
      <x:c r="H211" s="90" t="str">
        <x:v>7986600000000</x:v>
      </x:c>
      <x:c r="I211" s="92" t="n">
        <x:v>7.9866</x:v>
      </x:c>
      <x:c r="J211" s="92" t="str">
        <x:v>7986600000000000000</x:v>
      </x:c>
      <x:c r="K211" s="92" t="n">
        <x:v>7.9866</x:v>
      </x:c>
      <x:c r="L211" s="98" t="str">
        <x:v>PENDING_OWNER_ELIGIBILITY_APPROVAL</x:v>
      </x:c>
      <x:c r="M211" s="98" t="b">
        <x:f>IF(E211="EOA_CANDIDATE",I211&gt;='Decision Summary'!$B$11,FALSE)</x:f>
        <x:v>0</x:v>
      </x:c>
      <x:c r="N211" s="98" t="str">
        <x:f>IF(M211,"DRAFT INCLUDE","HOLD / EXCLUDE")</x:f>
        <x:v>HOLD / EXCLUDE</x:v>
      </x:c>
      <x:c r="O211" s="101" t="str">
        <x:f>IF(M211,C211,"")</x:f>
      </x:c>
      <x:c r="P211" s="98" t="str">
        <x:f>IF(N211="DRAFT INCLUDE",ROUNDUP(COUNTIF($N$6:N211,"DRAFT INCLUDE")/'Decision Summary'!$B$12,0),"")</x:f>
      </x:c>
      <x:c r="Q211" s="98" t="str">
        <x:f>IF(N211="DRAFT INCLUDE",MOD(COUNTIF($N$6:N211,"DRAFT INCLUDE")-1,'Decision Summary'!$B$12)+1,"")</x:f>
      </x:c>
      <x:c r="R211" s="98" t="str">
        <x:v>PENDING</x:v>
      </x:c>
      <x:c r="S211" s="98" t="str"/>
      <x:c r="T211" s="98" t="str">
        <x:v>Ordinary EOA candidate; inclusion still depends on V1 deprecation, threshold policy and owner approval.</x:v>
      </x:c>
      <x:c r="U211" s="89" t="str">
        <x:v>https://etherscan.io/token/0x445d03f499f1c150615957bb87588fb465fc91cc#balances</x:v>
      </x:c>
      <x:c r="V211" s="89" t="b">
        <x:f>COUNTIF($C$6:$C$502,C211)&gt;1</x:f>
        <x:v>0</x:v>
      </x:c>
    </x:row>
    <x:row r="212">
      <x:c r="A212" s="89" t="n">
        <x:v>207</x:v>
      </x:c>
      <x:c r="B212" s="89" t="str">
        <x:v>v1-mainnet-0207</x:v>
      </x:c>
      <x:c r="C212" s="90" t="str">
        <x:v>0xcfdc635566c39c385b90cf5bebd426a35dc5a60d</x:v>
      </x:c>
      <x:c r="D212" s="98" t="str"/>
      <x:c r="E212" s="98" t="str">
        <x:v>EOA_CANDIDATE</x:v>
      </x:c>
      <x:c r="F212" s="91" t="b">
        <x:v>0</x:v>
      </x:c>
      <x:c r="G212" s="89" t="n">
        <x:v>0</x:v>
      </x:c>
      <x:c r="H212" s="90" t="str">
        <x:v>7983700000000</x:v>
      </x:c>
      <x:c r="I212" s="92" t="n">
        <x:v>7.9837</x:v>
      </x:c>
      <x:c r="J212" s="92" t="str">
        <x:v>7983700000000000000</x:v>
      </x:c>
      <x:c r="K212" s="92" t="n">
        <x:v>7.9837</x:v>
      </x:c>
      <x:c r="L212" s="98" t="str">
        <x:v>PENDING_OWNER_ELIGIBILITY_APPROVAL</x:v>
      </x:c>
      <x:c r="M212" s="98" t="b">
        <x:f>IF(E212="EOA_CANDIDATE",I212&gt;='Decision Summary'!$B$11,FALSE)</x:f>
        <x:v>0</x:v>
      </x:c>
      <x:c r="N212" s="98" t="str">
        <x:f>IF(M212,"DRAFT INCLUDE","HOLD / EXCLUDE")</x:f>
        <x:v>HOLD / EXCLUDE</x:v>
      </x:c>
      <x:c r="O212" s="101" t="str">
        <x:f>IF(M212,C212,"")</x:f>
      </x:c>
      <x:c r="P212" s="98" t="str">
        <x:f>IF(N212="DRAFT INCLUDE",ROUNDUP(COUNTIF($N$6:N212,"DRAFT INCLUDE")/'Decision Summary'!$B$12,0),"")</x:f>
      </x:c>
      <x:c r="Q212" s="98" t="str">
        <x:f>IF(N212="DRAFT INCLUDE",MOD(COUNTIF($N$6:N212,"DRAFT INCLUDE")-1,'Decision Summary'!$B$12)+1,"")</x:f>
      </x:c>
      <x:c r="R212" s="98" t="str">
        <x:v>PENDING</x:v>
      </x:c>
      <x:c r="S212" s="98" t="str"/>
      <x:c r="T212" s="98" t="str">
        <x:v>Ordinary EOA candidate; inclusion still depends on V1 deprecation, threshold policy and owner approval.</x:v>
      </x:c>
      <x:c r="U212" s="89" t="str">
        <x:v>https://etherscan.io/token/0x445d03f499f1c150615957bb87588fb465fc91cc#balances</x:v>
      </x:c>
      <x:c r="V212" s="89" t="b">
        <x:f>COUNTIF($C$6:$C$502,C212)&gt;1</x:f>
        <x:v>0</x:v>
      </x:c>
    </x:row>
    <x:row r="213">
      <x:c r="A213" s="89" t="n">
        <x:v>208</x:v>
      </x:c>
      <x:c r="B213" s="89" t="str">
        <x:v>v1-mainnet-0208</x:v>
      </x:c>
      <x:c r="C213" s="90" t="str">
        <x:v>0xcbc9dbf7acba24e13f6d00ef8dc6f4b5ffda1b89</x:v>
      </x:c>
      <x:c r="D213" s="98" t="str"/>
      <x:c r="E213" s="98" t="str">
        <x:v>EOA_CANDIDATE</x:v>
      </x:c>
      <x:c r="F213" s="91" t="b">
        <x:v>0</x:v>
      </x:c>
      <x:c r="G213" s="89" t="n">
        <x:v>0</x:v>
      </x:c>
      <x:c r="H213" s="90" t="str">
        <x:v>7982200000000</x:v>
      </x:c>
      <x:c r="I213" s="92" t="n">
        <x:v>7.9822</x:v>
      </x:c>
      <x:c r="J213" s="92" t="str">
        <x:v>7982200000000000000</x:v>
      </x:c>
      <x:c r="K213" s="92" t="n">
        <x:v>7.9822</x:v>
      </x:c>
      <x:c r="L213" s="98" t="str">
        <x:v>PENDING_OWNER_ELIGIBILITY_APPROVAL</x:v>
      </x:c>
      <x:c r="M213" s="98" t="b">
        <x:f>IF(E213="EOA_CANDIDATE",I213&gt;='Decision Summary'!$B$11,FALSE)</x:f>
        <x:v>0</x:v>
      </x:c>
      <x:c r="N213" s="98" t="str">
        <x:f>IF(M213,"DRAFT INCLUDE","HOLD / EXCLUDE")</x:f>
        <x:v>HOLD / EXCLUDE</x:v>
      </x:c>
      <x:c r="O213" s="101" t="str">
        <x:f>IF(M213,C213,"")</x:f>
      </x:c>
      <x:c r="P213" s="98" t="str">
        <x:f>IF(N213="DRAFT INCLUDE",ROUNDUP(COUNTIF($N$6:N213,"DRAFT INCLUDE")/'Decision Summary'!$B$12,0),"")</x:f>
      </x:c>
      <x:c r="Q213" s="98" t="str">
        <x:f>IF(N213="DRAFT INCLUDE",MOD(COUNTIF($N$6:N213,"DRAFT INCLUDE")-1,'Decision Summary'!$B$12)+1,"")</x:f>
      </x:c>
      <x:c r="R213" s="98" t="str">
        <x:v>PENDING</x:v>
      </x:c>
      <x:c r="S213" s="98" t="str"/>
      <x:c r="T213" s="98" t="str">
        <x:v>Ordinary EOA candidate; inclusion still depends on V1 deprecation, threshold policy and owner approval.</x:v>
      </x:c>
      <x:c r="U213" s="89" t="str">
        <x:v>https://etherscan.io/token/0x445d03f499f1c150615957bb87588fb465fc91cc#balances</x:v>
      </x:c>
      <x:c r="V213" s="89" t="b">
        <x:f>COUNTIF($C$6:$C$502,C213)&gt;1</x:f>
        <x:v>0</x:v>
      </x:c>
    </x:row>
    <x:row r="214">
      <x:c r="A214" s="89" t="n">
        <x:v>209</x:v>
      </x:c>
      <x:c r="B214" s="89" t="str">
        <x:v>v1-mainnet-0209</x:v>
      </x:c>
      <x:c r="C214" s="90" t="str">
        <x:v>0x5fc629d7f10f93ad8ace8c865dda7fea890668c0</x:v>
      </x:c>
      <x:c r="D214" s="98" t="str"/>
      <x:c r="E214" s="98" t="str">
        <x:v>EOA_CANDIDATE</x:v>
      </x:c>
      <x:c r="F214" s="91" t="b">
        <x:v>0</x:v>
      </x:c>
      <x:c r="G214" s="89" t="n">
        <x:v>0</x:v>
      </x:c>
      <x:c r="H214" s="90" t="str">
        <x:v>7980000000000</x:v>
      </x:c>
      <x:c r="I214" s="92" t="n">
        <x:v>7.98</x:v>
      </x:c>
      <x:c r="J214" s="92" t="str">
        <x:v>7980000000000000000</x:v>
      </x:c>
      <x:c r="K214" s="92" t="n">
        <x:v>7.98</x:v>
      </x:c>
      <x:c r="L214" s="98" t="str">
        <x:v>PENDING_OWNER_ELIGIBILITY_APPROVAL</x:v>
      </x:c>
      <x:c r="M214" s="98" t="b">
        <x:f>IF(E214="EOA_CANDIDATE",I214&gt;='Decision Summary'!$B$11,FALSE)</x:f>
        <x:v>0</x:v>
      </x:c>
      <x:c r="N214" s="98" t="str">
        <x:f>IF(M214,"DRAFT INCLUDE","HOLD / EXCLUDE")</x:f>
        <x:v>HOLD / EXCLUDE</x:v>
      </x:c>
      <x:c r="O214" s="101" t="str">
        <x:f>IF(M214,C214,"")</x:f>
      </x:c>
      <x:c r="P214" s="98" t="str">
        <x:f>IF(N214="DRAFT INCLUDE",ROUNDUP(COUNTIF($N$6:N214,"DRAFT INCLUDE")/'Decision Summary'!$B$12,0),"")</x:f>
      </x:c>
      <x:c r="Q214" s="98" t="str">
        <x:f>IF(N214="DRAFT INCLUDE",MOD(COUNTIF($N$6:N214,"DRAFT INCLUDE")-1,'Decision Summary'!$B$12)+1,"")</x:f>
      </x:c>
      <x:c r="R214" s="98" t="str">
        <x:v>PENDING</x:v>
      </x:c>
      <x:c r="S214" s="98" t="str"/>
      <x:c r="T214" s="98" t="str">
        <x:v>Ordinary EOA candidate; inclusion still depends on V1 deprecation, threshold policy and owner approval.</x:v>
      </x:c>
      <x:c r="U214" s="89" t="str">
        <x:v>https://etherscan.io/token/0x445d03f499f1c150615957bb87588fb465fc91cc#balances</x:v>
      </x:c>
      <x:c r="V214" s="89" t="b">
        <x:f>COUNTIF($C$6:$C$502,C214)&gt;1</x:f>
        <x:v>0</x:v>
      </x:c>
    </x:row>
    <x:row r="215">
      <x:c r="A215" s="89" t="n">
        <x:v>210</x:v>
      </x:c>
      <x:c r="B215" s="89" t="str">
        <x:v>v1-mainnet-0210</x:v>
      </x:c>
      <x:c r="C215" s="90" t="str">
        <x:v>0x94926860cd40a56e3fadc4cdf22392bbb091ff6f</x:v>
      </x:c>
      <x:c r="D215" s="98" t="str"/>
      <x:c r="E215" s="98" t="str">
        <x:v>EOA_CANDIDATE</x:v>
      </x:c>
      <x:c r="F215" s="91" t="b">
        <x:v>0</x:v>
      </x:c>
      <x:c r="G215" s="89" t="n">
        <x:v>0</x:v>
      </x:c>
      <x:c r="H215" s="90" t="str">
        <x:v>7965800000000</x:v>
      </x:c>
      <x:c r="I215" s="92" t="n">
        <x:v>7.9658</x:v>
      </x:c>
      <x:c r="J215" s="92" t="str">
        <x:v>7965800000000000000</x:v>
      </x:c>
      <x:c r="K215" s="92" t="n">
        <x:v>7.9658</x:v>
      </x:c>
      <x:c r="L215" s="98" t="str">
        <x:v>PENDING_OWNER_ELIGIBILITY_APPROVAL</x:v>
      </x:c>
      <x:c r="M215" s="98" t="b">
        <x:f>IF(E215="EOA_CANDIDATE",I215&gt;='Decision Summary'!$B$11,FALSE)</x:f>
        <x:v>0</x:v>
      </x:c>
      <x:c r="N215" s="98" t="str">
        <x:f>IF(M215,"DRAFT INCLUDE","HOLD / EXCLUDE")</x:f>
        <x:v>HOLD / EXCLUDE</x:v>
      </x:c>
      <x:c r="O215" s="101" t="str">
        <x:f>IF(M215,C215,"")</x:f>
      </x:c>
      <x:c r="P215" s="98" t="str">
        <x:f>IF(N215="DRAFT INCLUDE",ROUNDUP(COUNTIF($N$6:N215,"DRAFT INCLUDE")/'Decision Summary'!$B$12,0),"")</x:f>
      </x:c>
      <x:c r="Q215" s="98" t="str">
        <x:f>IF(N215="DRAFT INCLUDE",MOD(COUNTIF($N$6:N215,"DRAFT INCLUDE")-1,'Decision Summary'!$B$12)+1,"")</x:f>
      </x:c>
      <x:c r="R215" s="98" t="str">
        <x:v>PENDING</x:v>
      </x:c>
      <x:c r="S215" s="98" t="str"/>
      <x:c r="T215" s="98" t="str">
        <x:v>Ordinary EOA candidate; inclusion still depends on V1 deprecation, threshold policy and owner approval.</x:v>
      </x:c>
      <x:c r="U215" s="89" t="str">
        <x:v>https://etherscan.io/token/0x445d03f499f1c150615957bb87588fb465fc91cc#balances</x:v>
      </x:c>
      <x:c r="V215" s="89" t="b">
        <x:f>COUNTIF($C$6:$C$502,C215)&gt;1</x:f>
        <x:v>0</x:v>
      </x:c>
    </x:row>
    <x:row r="216">
      <x:c r="A216" s="89" t="n">
        <x:v>211</x:v>
      </x:c>
      <x:c r="B216" s="89" t="str">
        <x:v>v1-mainnet-0211</x:v>
      </x:c>
      <x:c r="C216" s="90" t="str">
        <x:v>0xb03732c0e7798dc78daeefaf2cc98fd47e0fc17e</x:v>
      </x:c>
      <x:c r="D216" s="98" t="str"/>
      <x:c r="E216" s="98" t="str">
        <x:v>EOA_CANDIDATE</x:v>
      </x:c>
      <x:c r="F216" s="91" t="b">
        <x:v>0</x:v>
      </x:c>
      <x:c r="G216" s="89" t="n">
        <x:v>0</x:v>
      </x:c>
      <x:c r="H216" s="90" t="str">
        <x:v>7958900000000</x:v>
      </x:c>
      <x:c r="I216" s="92" t="n">
        <x:v>7.9589</x:v>
      </x:c>
      <x:c r="J216" s="92" t="str">
        <x:v>7958900000000000000</x:v>
      </x:c>
      <x:c r="K216" s="92" t="n">
        <x:v>7.9589</x:v>
      </x:c>
      <x:c r="L216" s="98" t="str">
        <x:v>PENDING_OWNER_ELIGIBILITY_APPROVAL</x:v>
      </x:c>
      <x:c r="M216" s="98" t="b">
        <x:f>IF(E216="EOA_CANDIDATE",I216&gt;='Decision Summary'!$B$11,FALSE)</x:f>
        <x:v>0</x:v>
      </x:c>
      <x:c r="N216" s="98" t="str">
        <x:f>IF(M216,"DRAFT INCLUDE","HOLD / EXCLUDE")</x:f>
        <x:v>HOLD / EXCLUDE</x:v>
      </x:c>
      <x:c r="O216" s="101" t="str">
        <x:f>IF(M216,C216,"")</x:f>
      </x:c>
      <x:c r="P216" s="98" t="str">
        <x:f>IF(N216="DRAFT INCLUDE",ROUNDUP(COUNTIF($N$6:N216,"DRAFT INCLUDE")/'Decision Summary'!$B$12,0),"")</x:f>
      </x:c>
      <x:c r="Q216" s="98" t="str">
        <x:f>IF(N216="DRAFT INCLUDE",MOD(COUNTIF($N$6:N216,"DRAFT INCLUDE")-1,'Decision Summary'!$B$12)+1,"")</x:f>
      </x:c>
      <x:c r="R216" s="98" t="str">
        <x:v>PENDING</x:v>
      </x:c>
      <x:c r="S216" s="98" t="str"/>
      <x:c r="T216" s="98" t="str">
        <x:v>Ordinary EOA candidate; inclusion still depends on V1 deprecation, threshold policy and owner approval.</x:v>
      </x:c>
      <x:c r="U216" s="89" t="str">
        <x:v>https://etherscan.io/token/0x445d03f499f1c150615957bb87588fb465fc91cc#balances</x:v>
      </x:c>
      <x:c r="V216" s="89" t="b">
        <x:f>COUNTIF($C$6:$C$502,C216)&gt;1</x:f>
        <x:v>0</x:v>
      </x:c>
    </x:row>
    <x:row r="217">
      <x:c r="A217" s="89" t="n">
        <x:v>212</x:v>
      </x:c>
      <x:c r="B217" s="89" t="str">
        <x:v>v1-mainnet-0212</x:v>
      </x:c>
      <x:c r="C217" s="90" t="str">
        <x:v>0x8b935531f24caf6afdc8f9e119acd91c496d9411</x:v>
      </x:c>
      <x:c r="D217" s="98" t="str"/>
      <x:c r="E217" s="98" t="str">
        <x:v>EOA_CANDIDATE</x:v>
      </x:c>
      <x:c r="F217" s="91" t="b">
        <x:v>0</x:v>
      </x:c>
      <x:c r="G217" s="89" t="n">
        <x:v>0</x:v>
      </x:c>
      <x:c r="H217" s="90" t="str">
        <x:v>7952500000000</x:v>
      </x:c>
      <x:c r="I217" s="92" t="n">
        <x:v>7.9525</x:v>
      </x:c>
      <x:c r="J217" s="92" t="str">
        <x:v>7952500000000000000</x:v>
      </x:c>
      <x:c r="K217" s="92" t="n">
        <x:v>7.9525</x:v>
      </x:c>
      <x:c r="L217" s="98" t="str">
        <x:v>PENDING_OWNER_ELIGIBILITY_APPROVAL</x:v>
      </x:c>
      <x:c r="M217" s="98" t="b">
        <x:f>IF(E217="EOA_CANDIDATE",I217&gt;='Decision Summary'!$B$11,FALSE)</x:f>
        <x:v>0</x:v>
      </x:c>
      <x:c r="N217" s="98" t="str">
        <x:f>IF(M217,"DRAFT INCLUDE","HOLD / EXCLUDE")</x:f>
        <x:v>HOLD / EXCLUDE</x:v>
      </x:c>
      <x:c r="O217" s="101" t="str">
        <x:f>IF(M217,C217,"")</x:f>
      </x:c>
      <x:c r="P217" s="98" t="str">
        <x:f>IF(N217="DRAFT INCLUDE",ROUNDUP(COUNTIF($N$6:N217,"DRAFT INCLUDE")/'Decision Summary'!$B$12,0),"")</x:f>
      </x:c>
      <x:c r="Q217" s="98" t="str">
        <x:f>IF(N217="DRAFT INCLUDE",MOD(COUNTIF($N$6:N217,"DRAFT INCLUDE")-1,'Decision Summary'!$B$12)+1,"")</x:f>
      </x:c>
      <x:c r="R217" s="98" t="str">
        <x:v>PENDING</x:v>
      </x:c>
      <x:c r="S217" s="98" t="str"/>
      <x:c r="T217" s="98" t="str">
        <x:v>Ordinary EOA candidate; inclusion still depends on V1 deprecation, threshold policy and owner approval.</x:v>
      </x:c>
      <x:c r="U217" s="89" t="str">
        <x:v>https://etherscan.io/token/0x445d03f499f1c150615957bb87588fb465fc91cc#balances</x:v>
      </x:c>
      <x:c r="V217" s="89" t="b">
        <x:f>COUNTIF($C$6:$C$502,C217)&gt;1</x:f>
        <x:v>0</x:v>
      </x:c>
    </x:row>
    <x:row r="218">
      <x:c r="A218" s="89" t="n">
        <x:v>213</x:v>
      </x:c>
      <x:c r="B218" s="89" t="str">
        <x:v>v1-mainnet-0213</x:v>
      </x:c>
      <x:c r="C218" s="90" t="str">
        <x:v>0xc2150bd863adb87e748d6c47728217c05a6423d2</x:v>
      </x:c>
      <x:c r="D218" s="98" t="str"/>
      <x:c r="E218" s="98" t="str">
        <x:v>EOA_CANDIDATE</x:v>
      </x:c>
      <x:c r="F218" s="91" t="b">
        <x:v>0</x:v>
      </x:c>
      <x:c r="G218" s="89" t="n">
        <x:v>0</x:v>
      </x:c>
      <x:c r="H218" s="90" t="str">
        <x:v>7928700000000</x:v>
      </x:c>
      <x:c r="I218" s="92" t="n">
        <x:v>7.9287</x:v>
      </x:c>
      <x:c r="J218" s="92" t="str">
        <x:v>7928700000000000000</x:v>
      </x:c>
      <x:c r="K218" s="92" t="n">
        <x:v>7.9287</x:v>
      </x:c>
      <x:c r="L218" s="98" t="str">
        <x:v>PENDING_OWNER_ELIGIBILITY_APPROVAL</x:v>
      </x:c>
      <x:c r="M218" s="98" t="b">
        <x:f>IF(E218="EOA_CANDIDATE",I218&gt;='Decision Summary'!$B$11,FALSE)</x:f>
        <x:v>0</x:v>
      </x:c>
      <x:c r="N218" s="98" t="str">
        <x:f>IF(M218,"DRAFT INCLUDE","HOLD / EXCLUDE")</x:f>
        <x:v>HOLD / EXCLUDE</x:v>
      </x:c>
      <x:c r="O218" s="101" t="str">
        <x:f>IF(M218,C218,"")</x:f>
      </x:c>
      <x:c r="P218" s="98" t="str">
        <x:f>IF(N218="DRAFT INCLUDE",ROUNDUP(COUNTIF($N$6:N218,"DRAFT INCLUDE")/'Decision Summary'!$B$12,0),"")</x:f>
      </x:c>
      <x:c r="Q218" s="98" t="str">
        <x:f>IF(N218="DRAFT INCLUDE",MOD(COUNTIF($N$6:N218,"DRAFT INCLUDE")-1,'Decision Summary'!$B$12)+1,"")</x:f>
      </x:c>
      <x:c r="R218" s="98" t="str">
        <x:v>PENDING</x:v>
      </x:c>
      <x:c r="S218" s="98" t="str"/>
      <x:c r="T218" s="98" t="str">
        <x:v>Ordinary EOA candidate; inclusion still depends on V1 deprecation, threshold policy and owner approval.</x:v>
      </x:c>
      <x:c r="U218" s="89" t="str">
        <x:v>https://etherscan.io/token/0x445d03f499f1c150615957bb87588fb465fc91cc#balances</x:v>
      </x:c>
      <x:c r="V218" s="89" t="b">
        <x:f>COUNTIF($C$6:$C$502,C218)&gt;1</x:f>
        <x:v>0</x:v>
      </x:c>
    </x:row>
    <x:row r="219">
      <x:c r="A219" s="89" t="n">
        <x:v>214</x:v>
      </x:c>
      <x:c r="B219" s="89" t="str">
        <x:v>v1-mainnet-0214</x:v>
      </x:c>
      <x:c r="C219" s="90" t="str">
        <x:v>0xf4f6d7964c543484a8d45d0d6ec4570ec13c6238</x:v>
      </x:c>
      <x:c r="D219" s="98" t="str"/>
      <x:c r="E219" s="98" t="str">
        <x:v>EOA_CANDIDATE</x:v>
      </x:c>
      <x:c r="F219" s="91" t="b">
        <x:v>0</x:v>
      </x:c>
      <x:c r="G219" s="89" t="n">
        <x:v>0</x:v>
      </x:c>
      <x:c r="H219" s="90" t="str">
        <x:v>7918200000000</x:v>
      </x:c>
      <x:c r="I219" s="92" t="n">
        <x:v>7.9182</x:v>
      </x:c>
      <x:c r="J219" s="92" t="str">
        <x:v>7918200000000000000</x:v>
      </x:c>
      <x:c r="K219" s="92" t="n">
        <x:v>7.9182</x:v>
      </x:c>
      <x:c r="L219" s="98" t="str">
        <x:v>PENDING_OWNER_ELIGIBILITY_APPROVAL</x:v>
      </x:c>
      <x:c r="M219" s="98" t="b">
        <x:f>IF(E219="EOA_CANDIDATE",I219&gt;='Decision Summary'!$B$11,FALSE)</x:f>
        <x:v>0</x:v>
      </x:c>
      <x:c r="N219" s="98" t="str">
        <x:f>IF(M219,"DRAFT INCLUDE","HOLD / EXCLUDE")</x:f>
        <x:v>HOLD / EXCLUDE</x:v>
      </x:c>
      <x:c r="O219" s="101" t="str">
        <x:f>IF(M219,C219,"")</x:f>
      </x:c>
      <x:c r="P219" s="98" t="str">
        <x:f>IF(N219="DRAFT INCLUDE",ROUNDUP(COUNTIF($N$6:N219,"DRAFT INCLUDE")/'Decision Summary'!$B$12,0),"")</x:f>
      </x:c>
      <x:c r="Q219" s="98" t="str">
        <x:f>IF(N219="DRAFT INCLUDE",MOD(COUNTIF($N$6:N219,"DRAFT INCLUDE")-1,'Decision Summary'!$B$12)+1,"")</x:f>
      </x:c>
      <x:c r="R219" s="98" t="str">
        <x:v>PENDING</x:v>
      </x:c>
      <x:c r="S219" s="98" t="str"/>
      <x:c r="T219" s="98" t="str">
        <x:v>Ordinary EOA candidate; inclusion still depends on V1 deprecation, threshold policy and owner approval.</x:v>
      </x:c>
      <x:c r="U219" s="89" t="str">
        <x:v>https://etherscan.io/token/0x445d03f499f1c150615957bb87588fb465fc91cc#balances</x:v>
      </x:c>
      <x:c r="V219" s="89" t="b">
        <x:f>COUNTIF($C$6:$C$502,C219)&gt;1</x:f>
        <x:v>0</x:v>
      </x:c>
    </x:row>
    <x:row r="220">
      <x:c r="A220" s="89" t="n">
        <x:v>215</x:v>
      </x:c>
      <x:c r="B220" s="89" t="str">
        <x:v>v1-mainnet-0215</x:v>
      </x:c>
      <x:c r="C220" s="90" t="str">
        <x:v>0x01b9f974a8210487ee56c4caa8923add1cc6e7ca</x:v>
      </x:c>
      <x:c r="D220" s="98" t="str"/>
      <x:c r="E220" s="98" t="str">
        <x:v>EOA_CANDIDATE</x:v>
      </x:c>
      <x:c r="F220" s="91" t="b">
        <x:v>0</x:v>
      </x:c>
      <x:c r="G220" s="89" t="n">
        <x:v>0</x:v>
      </x:c>
      <x:c r="H220" s="90" t="str">
        <x:v>7883100000000</x:v>
      </x:c>
      <x:c r="I220" s="92" t="n">
        <x:v>7.8831</x:v>
      </x:c>
      <x:c r="J220" s="92" t="str">
        <x:v>7883100000000000000</x:v>
      </x:c>
      <x:c r="K220" s="92" t="n">
        <x:v>7.8831</x:v>
      </x:c>
      <x:c r="L220" s="98" t="str">
        <x:v>PENDING_OWNER_ELIGIBILITY_APPROVAL</x:v>
      </x:c>
      <x:c r="M220" s="98" t="b">
        <x:f>IF(E220="EOA_CANDIDATE",I220&gt;='Decision Summary'!$B$11,FALSE)</x:f>
        <x:v>0</x:v>
      </x:c>
      <x:c r="N220" s="98" t="str">
        <x:f>IF(M220,"DRAFT INCLUDE","HOLD / EXCLUDE")</x:f>
        <x:v>HOLD / EXCLUDE</x:v>
      </x:c>
      <x:c r="O220" s="101" t="str">
        <x:f>IF(M220,C220,"")</x:f>
      </x:c>
      <x:c r="P220" s="98" t="str">
        <x:f>IF(N220="DRAFT INCLUDE",ROUNDUP(COUNTIF($N$6:N220,"DRAFT INCLUDE")/'Decision Summary'!$B$12,0),"")</x:f>
      </x:c>
      <x:c r="Q220" s="98" t="str">
        <x:f>IF(N220="DRAFT INCLUDE",MOD(COUNTIF($N$6:N220,"DRAFT INCLUDE")-1,'Decision Summary'!$B$12)+1,"")</x:f>
      </x:c>
      <x:c r="R220" s="98" t="str">
        <x:v>PENDING</x:v>
      </x:c>
      <x:c r="S220" s="98" t="str"/>
      <x:c r="T220" s="98" t="str">
        <x:v>Ordinary EOA candidate; inclusion still depends on V1 deprecation, threshold policy and owner approval.</x:v>
      </x:c>
      <x:c r="U220" s="89" t="str">
        <x:v>https://etherscan.io/token/0x445d03f499f1c150615957bb87588fb465fc91cc#balances</x:v>
      </x:c>
      <x:c r="V220" s="89" t="b">
        <x:f>COUNTIF($C$6:$C$502,C220)&gt;1</x:f>
        <x:v>0</x:v>
      </x:c>
    </x:row>
    <x:row r="221">
      <x:c r="A221" s="89" t="n">
        <x:v>216</x:v>
      </x:c>
      <x:c r="B221" s="89" t="str">
        <x:v>v1-mainnet-0216</x:v>
      </x:c>
      <x:c r="C221" s="90" t="str">
        <x:v>0xb3514a4569e83a35cc561f10f873e6b6c506c878</x:v>
      </x:c>
      <x:c r="D221" s="98" t="str"/>
      <x:c r="E221" s="98" t="str">
        <x:v>EOA_CANDIDATE</x:v>
      </x:c>
      <x:c r="F221" s="91" t="b">
        <x:v>0</x:v>
      </x:c>
      <x:c r="G221" s="89" t="n">
        <x:v>0</x:v>
      </x:c>
      <x:c r="H221" s="90" t="str">
        <x:v>7831700000000</x:v>
      </x:c>
      <x:c r="I221" s="92" t="n">
        <x:v>7.8317</x:v>
      </x:c>
      <x:c r="J221" s="92" t="str">
        <x:v>7831700000000000000</x:v>
      </x:c>
      <x:c r="K221" s="92" t="n">
        <x:v>7.8317</x:v>
      </x:c>
      <x:c r="L221" s="98" t="str">
        <x:v>PENDING_OWNER_ELIGIBILITY_APPROVAL</x:v>
      </x:c>
      <x:c r="M221" s="98" t="b">
        <x:f>IF(E221="EOA_CANDIDATE",I221&gt;='Decision Summary'!$B$11,FALSE)</x:f>
        <x:v>0</x:v>
      </x:c>
      <x:c r="N221" s="98" t="str">
        <x:f>IF(M221,"DRAFT INCLUDE","HOLD / EXCLUDE")</x:f>
        <x:v>HOLD / EXCLUDE</x:v>
      </x:c>
      <x:c r="O221" s="101" t="str">
        <x:f>IF(M221,C221,"")</x:f>
      </x:c>
      <x:c r="P221" s="98" t="str">
        <x:f>IF(N221="DRAFT INCLUDE",ROUNDUP(COUNTIF($N$6:N221,"DRAFT INCLUDE")/'Decision Summary'!$B$12,0),"")</x:f>
      </x:c>
      <x:c r="Q221" s="98" t="str">
        <x:f>IF(N221="DRAFT INCLUDE",MOD(COUNTIF($N$6:N221,"DRAFT INCLUDE")-1,'Decision Summary'!$B$12)+1,"")</x:f>
      </x:c>
      <x:c r="R221" s="98" t="str">
        <x:v>PENDING</x:v>
      </x:c>
      <x:c r="S221" s="98" t="str"/>
      <x:c r="T221" s="98" t="str">
        <x:v>Ordinary EOA candidate; inclusion still depends on V1 deprecation, threshold policy and owner approval.</x:v>
      </x:c>
      <x:c r="U221" s="89" t="str">
        <x:v>https://etherscan.io/token/0x445d03f499f1c150615957bb87588fb465fc91cc#balances</x:v>
      </x:c>
      <x:c r="V221" s="89" t="b">
        <x:f>COUNTIF($C$6:$C$502,C221)&gt;1</x:f>
        <x:v>0</x:v>
      </x:c>
    </x:row>
    <x:row r="222">
      <x:c r="A222" s="89" t="n">
        <x:v>217</x:v>
      </x:c>
      <x:c r="B222" s="89" t="str">
        <x:v>v1-mainnet-0217</x:v>
      </x:c>
      <x:c r="C222" s="90" t="str">
        <x:v>0x416d3c30b5f3ebb8316a8667a8c480c4393e6f2b</x:v>
      </x:c>
      <x:c r="D222" s="98" t="str"/>
      <x:c r="E222" s="98" t="str">
        <x:v>EOA_CANDIDATE</x:v>
      </x:c>
      <x:c r="F222" s="91" t="b">
        <x:v>0</x:v>
      </x:c>
      <x:c r="G222" s="89" t="n">
        <x:v>0</x:v>
      </x:c>
      <x:c r="H222" s="90" t="str">
        <x:v>7823200000000</x:v>
      </x:c>
      <x:c r="I222" s="92" t="n">
        <x:v>7.8232</x:v>
      </x:c>
      <x:c r="J222" s="92" t="str">
        <x:v>7823200000000000000</x:v>
      </x:c>
      <x:c r="K222" s="92" t="n">
        <x:v>7.8232</x:v>
      </x:c>
      <x:c r="L222" s="98" t="str">
        <x:v>PENDING_OWNER_ELIGIBILITY_APPROVAL</x:v>
      </x:c>
      <x:c r="M222" s="98" t="b">
        <x:f>IF(E222="EOA_CANDIDATE",I222&gt;='Decision Summary'!$B$11,FALSE)</x:f>
        <x:v>0</x:v>
      </x:c>
      <x:c r="N222" s="98" t="str">
        <x:f>IF(M222,"DRAFT INCLUDE","HOLD / EXCLUDE")</x:f>
        <x:v>HOLD / EXCLUDE</x:v>
      </x:c>
      <x:c r="O222" s="101" t="str">
        <x:f>IF(M222,C222,"")</x:f>
      </x:c>
      <x:c r="P222" s="98" t="str">
        <x:f>IF(N222="DRAFT INCLUDE",ROUNDUP(COUNTIF($N$6:N222,"DRAFT INCLUDE")/'Decision Summary'!$B$12,0),"")</x:f>
      </x:c>
      <x:c r="Q222" s="98" t="str">
        <x:f>IF(N222="DRAFT INCLUDE",MOD(COUNTIF($N$6:N222,"DRAFT INCLUDE")-1,'Decision Summary'!$B$12)+1,"")</x:f>
      </x:c>
      <x:c r="R222" s="98" t="str">
        <x:v>PENDING</x:v>
      </x:c>
      <x:c r="S222" s="98" t="str"/>
      <x:c r="T222" s="98" t="str">
        <x:v>Ordinary EOA candidate; inclusion still depends on V1 deprecation, threshold policy and owner approval.</x:v>
      </x:c>
      <x:c r="U222" s="89" t="str">
        <x:v>https://etherscan.io/token/0x445d03f499f1c150615957bb87588fb465fc91cc#balances</x:v>
      </x:c>
      <x:c r="V222" s="89" t="b">
        <x:f>COUNTIF($C$6:$C$502,C222)&gt;1</x:f>
        <x:v>0</x:v>
      </x:c>
    </x:row>
    <x:row r="223">
      <x:c r="A223" s="89" t="n">
        <x:v>218</x:v>
      </x:c>
      <x:c r="B223" s="89" t="str">
        <x:v>v1-mainnet-0218</x:v>
      </x:c>
      <x:c r="C223" s="90" t="str">
        <x:v>0xdc98fa73bad2585ba1d53c1d483954663d566cdb</x:v>
      </x:c>
      <x:c r="D223" s="98" t="str"/>
      <x:c r="E223" s="98" t="str">
        <x:v>EOA_CANDIDATE</x:v>
      </x:c>
      <x:c r="F223" s="91" t="b">
        <x:v>0</x:v>
      </x:c>
      <x:c r="G223" s="89" t="n">
        <x:v>0</x:v>
      </x:c>
      <x:c r="H223" s="90" t="str">
        <x:v>7816200000000</x:v>
      </x:c>
      <x:c r="I223" s="92" t="n">
        <x:v>7.8162</x:v>
      </x:c>
      <x:c r="J223" s="92" t="str">
        <x:v>7816200000000000000</x:v>
      </x:c>
      <x:c r="K223" s="92" t="n">
        <x:v>7.8162</x:v>
      </x:c>
      <x:c r="L223" s="98" t="str">
        <x:v>PENDING_OWNER_ELIGIBILITY_APPROVAL</x:v>
      </x:c>
      <x:c r="M223" s="98" t="b">
        <x:f>IF(E223="EOA_CANDIDATE",I223&gt;='Decision Summary'!$B$11,FALSE)</x:f>
        <x:v>0</x:v>
      </x:c>
      <x:c r="N223" s="98" t="str">
        <x:f>IF(M223,"DRAFT INCLUDE","HOLD / EXCLUDE")</x:f>
        <x:v>HOLD / EXCLUDE</x:v>
      </x:c>
      <x:c r="O223" s="101" t="str">
        <x:f>IF(M223,C223,"")</x:f>
      </x:c>
      <x:c r="P223" s="98" t="str">
        <x:f>IF(N223="DRAFT INCLUDE",ROUNDUP(COUNTIF($N$6:N223,"DRAFT INCLUDE")/'Decision Summary'!$B$12,0),"")</x:f>
      </x:c>
      <x:c r="Q223" s="98" t="str">
        <x:f>IF(N223="DRAFT INCLUDE",MOD(COUNTIF($N$6:N223,"DRAFT INCLUDE")-1,'Decision Summary'!$B$12)+1,"")</x:f>
      </x:c>
      <x:c r="R223" s="98" t="str">
        <x:v>PENDING</x:v>
      </x:c>
      <x:c r="S223" s="98" t="str"/>
      <x:c r="T223" s="98" t="str">
        <x:v>Ordinary EOA candidate; inclusion still depends on V1 deprecation, threshold policy and owner approval.</x:v>
      </x:c>
      <x:c r="U223" s="89" t="str">
        <x:v>https://etherscan.io/token/0x445d03f499f1c150615957bb87588fb465fc91cc#balances</x:v>
      </x:c>
      <x:c r="V223" s="89" t="b">
        <x:f>COUNTIF($C$6:$C$502,C223)&gt;1</x:f>
        <x:v>0</x:v>
      </x:c>
    </x:row>
    <x:row r="224">
      <x:c r="A224" s="89" t="n">
        <x:v>219</x:v>
      </x:c>
      <x:c r="B224" s="89" t="str">
        <x:v>v1-mainnet-0219</x:v>
      </x:c>
      <x:c r="C224" s="90" t="str">
        <x:v>0x4c534d5a976ad4f00ee401202d76989c620857e7</x:v>
      </x:c>
      <x:c r="D224" s="98" t="str"/>
      <x:c r="E224" s="98" t="str">
        <x:v>EOA_CANDIDATE</x:v>
      </x:c>
      <x:c r="F224" s="91" t="b">
        <x:v>0</x:v>
      </x:c>
      <x:c r="G224" s="89" t="n">
        <x:v>0</x:v>
      </x:c>
      <x:c r="H224" s="90" t="str">
        <x:v>7800900000000</x:v>
      </x:c>
      <x:c r="I224" s="92" t="n">
        <x:v>7.8009</x:v>
      </x:c>
      <x:c r="J224" s="92" t="str">
        <x:v>7800900000000000000</x:v>
      </x:c>
      <x:c r="K224" s="92" t="n">
        <x:v>7.8009</x:v>
      </x:c>
      <x:c r="L224" s="98" t="str">
        <x:v>PENDING_OWNER_ELIGIBILITY_APPROVAL</x:v>
      </x:c>
      <x:c r="M224" s="98" t="b">
        <x:f>IF(E224="EOA_CANDIDATE",I224&gt;='Decision Summary'!$B$11,FALSE)</x:f>
        <x:v>0</x:v>
      </x:c>
      <x:c r="N224" s="98" t="str">
        <x:f>IF(M224,"DRAFT INCLUDE","HOLD / EXCLUDE")</x:f>
        <x:v>HOLD / EXCLUDE</x:v>
      </x:c>
      <x:c r="O224" s="101" t="str">
        <x:f>IF(M224,C224,"")</x:f>
      </x:c>
      <x:c r="P224" s="98" t="str">
        <x:f>IF(N224="DRAFT INCLUDE",ROUNDUP(COUNTIF($N$6:N224,"DRAFT INCLUDE")/'Decision Summary'!$B$12,0),"")</x:f>
      </x:c>
      <x:c r="Q224" s="98" t="str">
        <x:f>IF(N224="DRAFT INCLUDE",MOD(COUNTIF($N$6:N224,"DRAFT INCLUDE")-1,'Decision Summary'!$B$12)+1,"")</x:f>
      </x:c>
      <x:c r="R224" s="98" t="str">
        <x:v>PENDING</x:v>
      </x:c>
      <x:c r="S224" s="98" t="str"/>
      <x:c r="T224" s="98" t="str">
        <x:v>Ordinary EOA candidate; inclusion still depends on V1 deprecation, threshold policy and owner approval.</x:v>
      </x:c>
      <x:c r="U224" s="89" t="str">
        <x:v>https://etherscan.io/token/0x445d03f499f1c150615957bb87588fb465fc91cc#balances</x:v>
      </x:c>
      <x:c r="V224" s="89" t="b">
        <x:f>COUNTIF($C$6:$C$502,C224)&gt;1</x:f>
        <x:v>0</x:v>
      </x:c>
    </x:row>
    <x:row r="225">
      <x:c r="A225" s="89" t="n">
        <x:v>220</x:v>
      </x:c>
      <x:c r="B225" s="89" t="str">
        <x:v>v1-mainnet-0220</x:v>
      </x:c>
      <x:c r="C225" s="90" t="str">
        <x:v>0x064d4ca3414022d892d9fd5bbc4ed74e3714d75d</x:v>
      </x:c>
      <x:c r="D225" s="98" t="str"/>
      <x:c r="E225" s="98" t="str">
        <x:v>EOA_CANDIDATE</x:v>
      </x:c>
      <x:c r="F225" s="91" t="b">
        <x:v>0</x:v>
      </x:c>
      <x:c r="G225" s="89" t="n">
        <x:v>0</x:v>
      </x:c>
      <x:c r="H225" s="90" t="str">
        <x:v>7788800000000</x:v>
      </x:c>
      <x:c r="I225" s="92" t="n">
        <x:v>7.7888</x:v>
      </x:c>
      <x:c r="J225" s="92" t="str">
        <x:v>7788800000000000000</x:v>
      </x:c>
      <x:c r="K225" s="92" t="n">
        <x:v>7.7888</x:v>
      </x:c>
      <x:c r="L225" s="98" t="str">
        <x:v>PENDING_OWNER_ELIGIBILITY_APPROVAL</x:v>
      </x:c>
      <x:c r="M225" s="98" t="b">
        <x:f>IF(E225="EOA_CANDIDATE",I225&gt;='Decision Summary'!$B$11,FALSE)</x:f>
        <x:v>0</x:v>
      </x:c>
      <x:c r="N225" s="98" t="str">
        <x:f>IF(M225,"DRAFT INCLUDE","HOLD / EXCLUDE")</x:f>
        <x:v>HOLD / EXCLUDE</x:v>
      </x:c>
      <x:c r="O225" s="101" t="str">
        <x:f>IF(M225,C225,"")</x:f>
      </x:c>
      <x:c r="P225" s="98" t="str">
        <x:f>IF(N225="DRAFT INCLUDE",ROUNDUP(COUNTIF($N$6:N225,"DRAFT INCLUDE")/'Decision Summary'!$B$12,0),"")</x:f>
      </x:c>
      <x:c r="Q225" s="98" t="str">
        <x:f>IF(N225="DRAFT INCLUDE",MOD(COUNTIF($N$6:N225,"DRAFT INCLUDE")-1,'Decision Summary'!$B$12)+1,"")</x:f>
      </x:c>
      <x:c r="R225" s="98" t="str">
        <x:v>PENDING</x:v>
      </x:c>
      <x:c r="S225" s="98" t="str"/>
      <x:c r="T225" s="98" t="str">
        <x:v>Ordinary EOA candidate; inclusion still depends on V1 deprecation, threshold policy and owner approval.</x:v>
      </x:c>
      <x:c r="U225" s="89" t="str">
        <x:v>https://etherscan.io/token/0x445d03f499f1c150615957bb87588fb465fc91cc#balances</x:v>
      </x:c>
      <x:c r="V225" s="89" t="b">
        <x:f>COUNTIF($C$6:$C$502,C225)&gt;1</x:f>
        <x:v>0</x:v>
      </x:c>
    </x:row>
    <x:row r="226">
      <x:c r="A226" s="89" t="n">
        <x:v>221</x:v>
      </x:c>
      <x:c r="B226" s="89" t="str">
        <x:v>v1-mainnet-0221</x:v>
      </x:c>
      <x:c r="C226" s="90" t="str">
        <x:v>0x35590b98d83e56d7286500b893708c03d8d3f3d7</x:v>
      </x:c>
      <x:c r="D226" s="98" t="str"/>
      <x:c r="E226" s="98" t="str">
        <x:v>EOA_CANDIDATE</x:v>
      </x:c>
      <x:c r="F226" s="91" t="b">
        <x:v>0</x:v>
      </x:c>
      <x:c r="G226" s="89" t="n">
        <x:v>0</x:v>
      </x:c>
      <x:c r="H226" s="90" t="str">
        <x:v>7751600000000</x:v>
      </x:c>
      <x:c r="I226" s="92" t="n">
        <x:v>7.7516</x:v>
      </x:c>
      <x:c r="J226" s="92" t="str">
        <x:v>7751600000000000000</x:v>
      </x:c>
      <x:c r="K226" s="92" t="n">
        <x:v>7.7516</x:v>
      </x:c>
      <x:c r="L226" s="98" t="str">
        <x:v>PENDING_OWNER_ELIGIBILITY_APPROVAL</x:v>
      </x:c>
      <x:c r="M226" s="98" t="b">
        <x:f>IF(E226="EOA_CANDIDATE",I226&gt;='Decision Summary'!$B$11,FALSE)</x:f>
        <x:v>0</x:v>
      </x:c>
      <x:c r="N226" s="98" t="str">
        <x:f>IF(M226,"DRAFT INCLUDE","HOLD / EXCLUDE")</x:f>
        <x:v>HOLD / EXCLUDE</x:v>
      </x:c>
      <x:c r="O226" s="101" t="str">
        <x:f>IF(M226,C226,"")</x:f>
      </x:c>
      <x:c r="P226" s="98" t="str">
        <x:f>IF(N226="DRAFT INCLUDE",ROUNDUP(COUNTIF($N$6:N226,"DRAFT INCLUDE")/'Decision Summary'!$B$12,0),"")</x:f>
      </x:c>
      <x:c r="Q226" s="98" t="str">
        <x:f>IF(N226="DRAFT INCLUDE",MOD(COUNTIF($N$6:N226,"DRAFT INCLUDE")-1,'Decision Summary'!$B$12)+1,"")</x:f>
      </x:c>
      <x:c r="R226" s="98" t="str">
        <x:v>PENDING</x:v>
      </x:c>
      <x:c r="S226" s="98" t="str"/>
      <x:c r="T226" s="98" t="str">
        <x:v>Ordinary EOA candidate; inclusion still depends on V1 deprecation, threshold policy and owner approval.</x:v>
      </x:c>
      <x:c r="U226" s="89" t="str">
        <x:v>https://etherscan.io/token/0x445d03f499f1c150615957bb87588fb465fc91cc#balances</x:v>
      </x:c>
      <x:c r="V226" s="89" t="b">
        <x:f>COUNTIF($C$6:$C$502,C226)&gt;1</x:f>
        <x:v>0</x:v>
      </x:c>
    </x:row>
    <x:row r="227">
      <x:c r="A227" s="89" t="n">
        <x:v>222</x:v>
      </x:c>
      <x:c r="B227" s="89" t="str">
        <x:v>v1-mainnet-0222</x:v>
      </x:c>
      <x:c r="C227" s="90" t="str">
        <x:v>0x91c30ca77aabcb6bf9c9dae8dc65780a965ffc46</x:v>
      </x:c>
      <x:c r="D227" s="98" t="str"/>
      <x:c r="E227" s="98" t="str">
        <x:v>EOA_CANDIDATE</x:v>
      </x:c>
      <x:c r="F227" s="91" t="b">
        <x:v>0</x:v>
      </x:c>
      <x:c r="G227" s="89" t="n">
        <x:v>0</x:v>
      </x:c>
      <x:c r="H227" s="90" t="str">
        <x:v>7749900000000</x:v>
      </x:c>
      <x:c r="I227" s="92" t="n">
        <x:v>7.7499</x:v>
      </x:c>
      <x:c r="J227" s="92" t="str">
        <x:v>7749900000000000000</x:v>
      </x:c>
      <x:c r="K227" s="92" t="n">
        <x:v>7.7499</x:v>
      </x:c>
      <x:c r="L227" s="98" t="str">
        <x:v>PENDING_OWNER_ELIGIBILITY_APPROVAL</x:v>
      </x:c>
      <x:c r="M227" s="98" t="b">
        <x:f>IF(E227="EOA_CANDIDATE",I227&gt;='Decision Summary'!$B$11,FALSE)</x:f>
        <x:v>0</x:v>
      </x:c>
      <x:c r="N227" s="98" t="str">
        <x:f>IF(M227,"DRAFT INCLUDE","HOLD / EXCLUDE")</x:f>
        <x:v>HOLD / EXCLUDE</x:v>
      </x:c>
      <x:c r="O227" s="101" t="str">
        <x:f>IF(M227,C227,"")</x:f>
      </x:c>
      <x:c r="P227" s="98" t="str">
        <x:f>IF(N227="DRAFT INCLUDE",ROUNDUP(COUNTIF($N$6:N227,"DRAFT INCLUDE")/'Decision Summary'!$B$12,0),"")</x:f>
      </x:c>
      <x:c r="Q227" s="98" t="str">
        <x:f>IF(N227="DRAFT INCLUDE",MOD(COUNTIF($N$6:N227,"DRAFT INCLUDE")-1,'Decision Summary'!$B$12)+1,"")</x:f>
      </x:c>
      <x:c r="R227" s="98" t="str">
        <x:v>PENDING</x:v>
      </x:c>
      <x:c r="S227" s="98" t="str"/>
      <x:c r="T227" s="98" t="str">
        <x:v>Ordinary EOA candidate; inclusion still depends on V1 deprecation, threshold policy and owner approval.</x:v>
      </x:c>
      <x:c r="U227" s="89" t="str">
        <x:v>https://etherscan.io/token/0x445d03f499f1c150615957bb87588fb465fc91cc#balances</x:v>
      </x:c>
      <x:c r="V227" s="89" t="b">
        <x:f>COUNTIF($C$6:$C$502,C227)&gt;1</x:f>
        <x:v>0</x:v>
      </x:c>
    </x:row>
    <x:row r="228">
      <x:c r="A228" s="89" t="n">
        <x:v>223</x:v>
      </x:c>
      <x:c r="B228" s="89" t="str">
        <x:v>v1-mainnet-0223</x:v>
      </x:c>
      <x:c r="C228" s="90" t="str">
        <x:v>0xb835f6fef0b9271fcdba3aba4747715a1a6617b9</x:v>
      </x:c>
      <x:c r="D228" s="98" t="str"/>
      <x:c r="E228" s="98" t="str">
        <x:v>EOA_CANDIDATE</x:v>
      </x:c>
      <x:c r="F228" s="91" t="b">
        <x:v>0</x:v>
      </x:c>
      <x:c r="G228" s="89" t="n">
        <x:v>0</x:v>
      </x:c>
      <x:c r="H228" s="90" t="str">
        <x:v>7749400000000</x:v>
      </x:c>
      <x:c r="I228" s="92" t="n">
        <x:v>7.7494</x:v>
      </x:c>
      <x:c r="J228" s="92" t="str">
        <x:v>7749400000000000000</x:v>
      </x:c>
      <x:c r="K228" s="92" t="n">
        <x:v>7.7494</x:v>
      </x:c>
      <x:c r="L228" s="98" t="str">
        <x:v>PENDING_OWNER_ELIGIBILITY_APPROVAL</x:v>
      </x:c>
      <x:c r="M228" s="98" t="b">
        <x:f>IF(E228="EOA_CANDIDATE",I228&gt;='Decision Summary'!$B$11,FALSE)</x:f>
        <x:v>0</x:v>
      </x:c>
      <x:c r="N228" s="98" t="str">
        <x:f>IF(M228,"DRAFT INCLUDE","HOLD / EXCLUDE")</x:f>
        <x:v>HOLD / EXCLUDE</x:v>
      </x:c>
      <x:c r="O228" s="101" t="str">
        <x:f>IF(M228,C228,"")</x:f>
      </x:c>
      <x:c r="P228" s="98" t="str">
        <x:f>IF(N228="DRAFT INCLUDE",ROUNDUP(COUNTIF($N$6:N228,"DRAFT INCLUDE")/'Decision Summary'!$B$12,0),"")</x:f>
      </x:c>
      <x:c r="Q228" s="98" t="str">
        <x:f>IF(N228="DRAFT INCLUDE",MOD(COUNTIF($N$6:N228,"DRAFT INCLUDE")-1,'Decision Summary'!$B$12)+1,"")</x:f>
      </x:c>
      <x:c r="R228" s="98" t="str">
        <x:v>PENDING</x:v>
      </x:c>
      <x:c r="S228" s="98" t="str"/>
      <x:c r="T228" s="98" t="str">
        <x:v>Ordinary EOA candidate; inclusion still depends on V1 deprecation, threshold policy and owner approval.</x:v>
      </x:c>
      <x:c r="U228" s="89" t="str">
        <x:v>https://etherscan.io/token/0x445d03f499f1c150615957bb87588fb465fc91cc#balances</x:v>
      </x:c>
      <x:c r="V228" s="89" t="b">
        <x:f>COUNTIF($C$6:$C$502,C228)&gt;1</x:f>
        <x:v>0</x:v>
      </x:c>
    </x:row>
    <x:row r="229">
      <x:c r="A229" s="89" t="n">
        <x:v>224</x:v>
      </x:c>
      <x:c r="B229" s="89" t="str">
        <x:v>v1-mainnet-0224</x:v>
      </x:c>
      <x:c r="C229" s="90" t="str">
        <x:v>0x099f94c9e948133861ba38c3f108f527b6dea36d</x:v>
      </x:c>
      <x:c r="D229" s="98" t="str"/>
      <x:c r="E229" s="98" t="str">
        <x:v>EOA_CANDIDATE</x:v>
      </x:c>
      <x:c r="F229" s="91" t="b">
        <x:v>0</x:v>
      </x:c>
      <x:c r="G229" s="89" t="n">
        <x:v>0</x:v>
      </x:c>
      <x:c r="H229" s="90" t="str">
        <x:v>7697900000000</x:v>
      </x:c>
      <x:c r="I229" s="92" t="n">
        <x:v>7.6979</x:v>
      </x:c>
      <x:c r="J229" s="92" t="str">
        <x:v>7697900000000000000</x:v>
      </x:c>
      <x:c r="K229" s="92" t="n">
        <x:v>7.6979</x:v>
      </x:c>
      <x:c r="L229" s="98" t="str">
        <x:v>PENDING_OWNER_ELIGIBILITY_APPROVAL</x:v>
      </x:c>
      <x:c r="M229" s="98" t="b">
        <x:f>IF(E229="EOA_CANDIDATE",I229&gt;='Decision Summary'!$B$11,FALSE)</x:f>
        <x:v>0</x:v>
      </x:c>
      <x:c r="N229" s="98" t="str">
        <x:f>IF(M229,"DRAFT INCLUDE","HOLD / EXCLUDE")</x:f>
        <x:v>HOLD / EXCLUDE</x:v>
      </x:c>
      <x:c r="O229" s="101" t="str">
        <x:f>IF(M229,C229,"")</x:f>
      </x:c>
      <x:c r="P229" s="98" t="str">
        <x:f>IF(N229="DRAFT INCLUDE",ROUNDUP(COUNTIF($N$6:N229,"DRAFT INCLUDE")/'Decision Summary'!$B$12,0),"")</x:f>
      </x:c>
      <x:c r="Q229" s="98" t="str">
        <x:f>IF(N229="DRAFT INCLUDE",MOD(COUNTIF($N$6:N229,"DRAFT INCLUDE")-1,'Decision Summary'!$B$12)+1,"")</x:f>
      </x:c>
      <x:c r="R229" s="98" t="str">
        <x:v>PENDING</x:v>
      </x:c>
      <x:c r="S229" s="98" t="str"/>
      <x:c r="T229" s="98" t="str">
        <x:v>Ordinary EOA candidate; inclusion still depends on V1 deprecation, threshold policy and owner approval.</x:v>
      </x:c>
      <x:c r="U229" s="89" t="str">
        <x:v>https://etherscan.io/token/0x445d03f499f1c150615957bb87588fb465fc91cc#balances</x:v>
      </x:c>
      <x:c r="V229" s="89" t="b">
        <x:f>COUNTIF($C$6:$C$502,C229)&gt;1</x:f>
        <x:v>0</x:v>
      </x:c>
    </x:row>
    <x:row r="230">
      <x:c r="A230" s="89" t="n">
        <x:v>225</x:v>
      </x:c>
      <x:c r="B230" s="89" t="str">
        <x:v>v1-mainnet-0225</x:v>
      </x:c>
      <x:c r="C230" s="90" t="str">
        <x:v>0x68011c615a192d3313493f23dab2d4b4b898c5f9</x:v>
      </x:c>
      <x:c r="D230" s="98" t="str"/>
      <x:c r="E230" s="98" t="str">
        <x:v>EOA_CANDIDATE</x:v>
      </x:c>
      <x:c r="F230" s="91" t="b">
        <x:v>0</x:v>
      </x:c>
      <x:c r="G230" s="89" t="n">
        <x:v>0</x:v>
      </x:c>
      <x:c r="H230" s="90" t="str">
        <x:v>7675100000000</x:v>
      </x:c>
      <x:c r="I230" s="92" t="n">
        <x:v>7.6751</x:v>
      </x:c>
      <x:c r="J230" s="92" t="str">
        <x:v>7675100000000000000</x:v>
      </x:c>
      <x:c r="K230" s="92" t="n">
        <x:v>7.6751</x:v>
      </x:c>
      <x:c r="L230" s="98" t="str">
        <x:v>PENDING_OWNER_ELIGIBILITY_APPROVAL</x:v>
      </x:c>
      <x:c r="M230" s="98" t="b">
        <x:f>IF(E230="EOA_CANDIDATE",I230&gt;='Decision Summary'!$B$11,FALSE)</x:f>
        <x:v>0</x:v>
      </x:c>
      <x:c r="N230" s="98" t="str">
        <x:f>IF(M230,"DRAFT INCLUDE","HOLD / EXCLUDE")</x:f>
        <x:v>HOLD / EXCLUDE</x:v>
      </x:c>
      <x:c r="O230" s="101" t="str">
        <x:f>IF(M230,C230,"")</x:f>
      </x:c>
      <x:c r="P230" s="98" t="str">
        <x:f>IF(N230="DRAFT INCLUDE",ROUNDUP(COUNTIF($N$6:N230,"DRAFT INCLUDE")/'Decision Summary'!$B$12,0),"")</x:f>
      </x:c>
      <x:c r="Q230" s="98" t="str">
        <x:f>IF(N230="DRAFT INCLUDE",MOD(COUNTIF($N$6:N230,"DRAFT INCLUDE")-1,'Decision Summary'!$B$12)+1,"")</x:f>
      </x:c>
      <x:c r="R230" s="98" t="str">
        <x:v>PENDING</x:v>
      </x:c>
      <x:c r="S230" s="98" t="str"/>
      <x:c r="T230" s="98" t="str">
        <x:v>Ordinary EOA candidate; inclusion still depends on V1 deprecation, threshold policy and owner approval.</x:v>
      </x:c>
      <x:c r="U230" s="89" t="str">
        <x:v>https://etherscan.io/token/0x445d03f499f1c150615957bb87588fb465fc91cc#balances</x:v>
      </x:c>
      <x:c r="V230" s="89" t="b">
        <x:f>COUNTIF($C$6:$C$502,C230)&gt;1</x:f>
        <x:v>0</x:v>
      </x:c>
    </x:row>
    <x:row r="231">
      <x:c r="A231" s="89" t="n">
        <x:v>226</x:v>
      </x:c>
      <x:c r="B231" s="89" t="str">
        <x:v>v1-mainnet-0226</x:v>
      </x:c>
      <x:c r="C231" s="90" t="str">
        <x:v>0xfc42fc7d1bff5e2ebd8660d47b0d6ae02ddf349f</x:v>
      </x:c>
      <x:c r="D231" s="98" t="str"/>
      <x:c r="E231" s="98" t="str">
        <x:v>EOA_CANDIDATE</x:v>
      </x:c>
      <x:c r="F231" s="91" t="b">
        <x:v>0</x:v>
      </x:c>
      <x:c r="G231" s="89" t="n">
        <x:v>0</x:v>
      </x:c>
      <x:c r="H231" s="90" t="str">
        <x:v>7671300000000</x:v>
      </x:c>
      <x:c r="I231" s="92" t="n">
        <x:v>7.6713</x:v>
      </x:c>
      <x:c r="J231" s="92" t="str">
        <x:v>7671300000000000000</x:v>
      </x:c>
      <x:c r="K231" s="92" t="n">
        <x:v>7.6713</x:v>
      </x:c>
      <x:c r="L231" s="98" t="str">
        <x:v>PENDING_OWNER_ELIGIBILITY_APPROVAL</x:v>
      </x:c>
      <x:c r="M231" s="98" t="b">
        <x:f>IF(E231="EOA_CANDIDATE",I231&gt;='Decision Summary'!$B$11,FALSE)</x:f>
        <x:v>0</x:v>
      </x:c>
      <x:c r="N231" s="98" t="str">
        <x:f>IF(M231,"DRAFT INCLUDE","HOLD / EXCLUDE")</x:f>
        <x:v>HOLD / EXCLUDE</x:v>
      </x:c>
      <x:c r="O231" s="101" t="str">
        <x:f>IF(M231,C231,"")</x:f>
      </x:c>
      <x:c r="P231" s="98" t="str">
        <x:f>IF(N231="DRAFT INCLUDE",ROUNDUP(COUNTIF($N$6:N231,"DRAFT INCLUDE")/'Decision Summary'!$B$12,0),"")</x:f>
      </x:c>
      <x:c r="Q231" s="98" t="str">
        <x:f>IF(N231="DRAFT INCLUDE",MOD(COUNTIF($N$6:N231,"DRAFT INCLUDE")-1,'Decision Summary'!$B$12)+1,"")</x:f>
      </x:c>
      <x:c r="R231" s="98" t="str">
        <x:v>PENDING</x:v>
      </x:c>
      <x:c r="S231" s="98" t="str"/>
      <x:c r="T231" s="98" t="str">
        <x:v>Ordinary EOA candidate; inclusion still depends on V1 deprecation, threshold policy and owner approval.</x:v>
      </x:c>
      <x:c r="U231" s="89" t="str">
        <x:v>https://etherscan.io/token/0x445d03f499f1c150615957bb87588fb465fc91cc#balances</x:v>
      </x:c>
      <x:c r="V231" s="89" t="b">
        <x:f>COUNTIF($C$6:$C$502,C231)&gt;1</x:f>
        <x:v>0</x:v>
      </x:c>
    </x:row>
    <x:row r="232">
      <x:c r="A232" s="89" t="n">
        <x:v>227</x:v>
      </x:c>
      <x:c r="B232" s="89" t="str">
        <x:v>v1-mainnet-0227</x:v>
      </x:c>
      <x:c r="C232" s="90" t="str">
        <x:v>0x139d0e75cea37e7397aa8255cc52da166fc85a0d</x:v>
      </x:c>
      <x:c r="D232" s="98" t="str"/>
      <x:c r="E232" s="98" t="str">
        <x:v>EOA_CANDIDATE</x:v>
      </x:c>
      <x:c r="F232" s="91" t="b">
        <x:v>0</x:v>
      </x:c>
      <x:c r="G232" s="89" t="n">
        <x:v>0</x:v>
      </x:c>
      <x:c r="H232" s="90" t="str">
        <x:v>7651600000000</x:v>
      </x:c>
      <x:c r="I232" s="92" t="n">
        <x:v>7.6516</x:v>
      </x:c>
      <x:c r="J232" s="92" t="str">
        <x:v>7651600000000000000</x:v>
      </x:c>
      <x:c r="K232" s="92" t="n">
        <x:v>7.6516</x:v>
      </x:c>
      <x:c r="L232" s="98" t="str">
        <x:v>PENDING_OWNER_ELIGIBILITY_APPROVAL</x:v>
      </x:c>
      <x:c r="M232" s="98" t="b">
        <x:f>IF(E232="EOA_CANDIDATE",I232&gt;='Decision Summary'!$B$11,FALSE)</x:f>
        <x:v>0</x:v>
      </x:c>
      <x:c r="N232" s="98" t="str">
        <x:f>IF(M232,"DRAFT INCLUDE","HOLD / EXCLUDE")</x:f>
        <x:v>HOLD / EXCLUDE</x:v>
      </x:c>
      <x:c r="O232" s="101" t="str">
        <x:f>IF(M232,C232,"")</x:f>
      </x:c>
      <x:c r="P232" s="98" t="str">
        <x:f>IF(N232="DRAFT INCLUDE",ROUNDUP(COUNTIF($N$6:N232,"DRAFT INCLUDE")/'Decision Summary'!$B$12,0),"")</x:f>
      </x:c>
      <x:c r="Q232" s="98" t="str">
        <x:f>IF(N232="DRAFT INCLUDE",MOD(COUNTIF($N$6:N232,"DRAFT INCLUDE")-1,'Decision Summary'!$B$12)+1,"")</x:f>
      </x:c>
      <x:c r="R232" s="98" t="str">
        <x:v>PENDING</x:v>
      </x:c>
      <x:c r="S232" s="98" t="str"/>
      <x:c r="T232" s="98" t="str">
        <x:v>Ordinary EOA candidate; inclusion still depends on V1 deprecation, threshold policy and owner approval.</x:v>
      </x:c>
      <x:c r="U232" s="89" t="str">
        <x:v>https://etherscan.io/token/0x445d03f499f1c150615957bb87588fb465fc91cc#balances</x:v>
      </x:c>
      <x:c r="V232" s="89" t="b">
        <x:f>COUNTIF($C$6:$C$502,C232)&gt;1</x:f>
        <x:v>0</x:v>
      </x:c>
    </x:row>
    <x:row r="233">
      <x:c r="A233" s="89" t="n">
        <x:v>228</x:v>
      </x:c>
      <x:c r="B233" s="89" t="str">
        <x:v>v1-mainnet-0228</x:v>
      </x:c>
      <x:c r="C233" s="90" t="str">
        <x:v>0xafacf1cfec108d7a92ab9fb66b465dae19113b67</x:v>
      </x:c>
      <x:c r="D233" s="98" t="str"/>
      <x:c r="E233" s="98" t="str">
        <x:v>EOA_CANDIDATE</x:v>
      </x:c>
      <x:c r="F233" s="91" t="b">
        <x:v>0</x:v>
      </x:c>
      <x:c r="G233" s="89" t="n">
        <x:v>0</x:v>
      </x:c>
      <x:c r="H233" s="90" t="str">
        <x:v>7637700000000</x:v>
      </x:c>
      <x:c r="I233" s="92" t="n">
        <x:v>7.6377</x:v>
      </x:c>
      <x:c r="J233" s="92" t="str">
        <x:v>7637700000000000000</x:v>
      </x:c>
      <x:c r="K233" s="92" t="n">
        <x:v>7.6377</x:v>
      </x:c>
      <x:c r="L233" s="98" t="str">
        <x:v>PENDING_OWNER_ELIGIBILITY_APPROVAL</x:v>
      </x:c>
      <x:c r="M233" s="98" t="b">
        <x:f>IF(E233="EOA_CANDIDATE",I233&gt;='Decision Summary'!$B$11,FALSE)</x:f>
        <x:v>0</x:v>
      </x:c>
      <x:c r="N233" s="98" t="str">
        <x:f>IF(M233,"DRAFT INCLUDE","HOLD / EXCLUDE")</x:f>
        <x:v>HOLD / EXCLUDE</x:v>
      </x:c>
      <x:c r="O233" s="101" t="str">
        <x:f>IF(M233,C233,"")</x:f>
      </x:c>
      <x:c r="P233" s="98" t="str">
        <x:f>IF(N233="DRAFT INCLUDE",ROUNDUP(COUNTIF($N$6:N233,"DRAFT INCLUDE")/'Decision Summary'!$B$12,0),"")</x:f>
      </x:c>
      <x:c r="Q233" s="98" t="str">
        <x:f>IF(N233="DRAFT INCLUDE",MOD(COUNTIF($N$6:N233,"DRAFT INCLUDE")-1,'Decision Summary'!$B$12)+1,"")</x:f>
      </x:c>
      <x:c r="R233" s="98" t="str">
        <x:v>PENDING</x:v>
      </x:c>
      <x:c r="S233" s="98" t="str"/>
      <x:c r="T233" s="98" t="str">
        <x:v>Ordinary EOA candidate; inclusion still depends on V1 deprecation, threshold policy and owner approval.</x:v>
      </x:c>
      <x:c r="U233" s="89" t="str">
        <x:v>https://etherscan.io/token/0x445d03f499f1c150615957bb87588fb465fc91cc#balances</x:v>
      </x:c>
      <x:c r="V233" s="89" t="b">
        <x:f>COUNTIF($C$6:$C$502,C233)&gt;1</x:f>
        <x:v>0</x:v>
      </x:c>
    </x:row>
    <x:row r="234">
      <x:c r="A234" s="89" t="n">
        <x:v>229</x:v>
      </x:c>
      <x:c r="B234" s="89" t="str">
        <x:v>v1-mainnet-0229</x:v>
      </x:c>
      <x:c r="C234" s="90" t="str">
        <x:v>0xc0deb2cb56af54345b0235d74cf20306e46124ff</x:v>
      </x:c>
      <x:c r="D234" s="98" t="str"/>
      <x:c r="E234" s="98" t="str">
        <x:v>EOA_CANDIDATE</x:v>
      </x:c>
      <x:c r="F234" s="91" t="b">
        <x:v>0</x:v>
      </x:c>
      <x:c r="G234" s="89" t="n">
        <x:v>0</x:v>
      </x:c>
      <x:c r="H234" s="90" t="str">
        <x:v>7604500000000</x:v>
      </x:c>
      <x:c r="I234" s="92" t="n">
        <x:v>7.6045</x:v>
      </x:c>
      <x:c r="J234" s="92" t="str">
        <x:v>7604500000000000000</x:v>
      </x:c>
      <x:c r="K234" s="92" t="n">
        <x:v>7.6045</x:v>
      </x:c>
      <x:c r="L234" s="98" t="str">
        <x:v>PENDING_OWNER_ELIGIBILITY_APPROVAL</x:v>
      </x:c>
      <x:c r="M234" s="98" t="b">
        <x:f>IF(E234="EOA_CANDIDATE",I234&gt;='Decision Summary'!$B$11,FALSE)</x:f>
        <x:v>0</x:v>
      </x:c>
      <x:c r="N234" s="98" t="str">
        <x:f>IF(M234,"DRAFT INCLUDE","HOLD / EXCLUDE")</x:f>
        <x:v>HOLD / EXCLUDE</x:v>
      </x:c>
      <x:c r="O234" s="101" t="str">
        <x:f>IF(M234,C234,"")</x:f>
      </x:c>
      <x:c r="P234" s="98" t="str">
        <x:f>IF(N234="DRAFT INCLUDE",ROUNDUP(COUNTIF($N$6:N234,"DRAFT INCLUDE")/'Decision Summary'!$B$12,0),"")</x:f>
      </x:c>
      <x:c r="Q234" s="98" t="str">
        <x:f>IF(N234="DRAFT INCLUDE",MOD(COUNTIF($N$6:N234,"DRAFT INCLUDE")-1,'Decision Summary'!$B$12)+1,"")</x:f>
      </x:c>
      <x:c r="R234" s="98" t="str">
        <x:v>PENDING</x:v>
      </x:c>
      <x:c r="S234" s="98" t="str"/>
      <x:c r="T234" s="98" t="str">
        <x:v>Ordinary EOA candidate; inclusion still depends on V1 deprecation, threshold policy and owner approval.</x:v>
      </x:c>
      <x:c r="U234" s="89" t="str">
        <x:v>https://etherscan.io/token/0x445d03f499f1c150615957bb87588fb465fc91cc#balances</x:v>
      </x:c>
      <x:c r="V234" s="89" t="b">
        <x:f>COUNTIF($C$6:$C$502,C234)&gt;1</x:f>
        <x:v>0</x:v>
      </x:c>
    </x:row>
    <x:row r="235">
      <x:c r="A235" s="89" t="n">
        <x:v>230</x:v>
      </x:c>
      <x:c r="B235" s="89" t="str">
        <x:v>v1-mainnet-0230</x:v>
      </x:c>
      <x:c r="C235" s="90" t="str">
        <x:v>0xd21136a32cd7b4c42f8b8c10e8363305bd4f5678</x:v>
      </x:c>
      <x:c r="D235" s="98" t="str"/>
      <x:c r="E235" s="98" t="str">
        <x:v>EOA_CANDIDATE</x:v>
      </x:c>
      <x:c r="F235" s="91" t="b">
        <x:v>0</x:v>
      </x:c>
      <x:c r="G235" s="89" t="n">
        <x:v>0</x:v>
      </x:c>
      <x:c r="H235" s="90" t="str">
        <x:v>7584800000000</x:v>
      </x:c>
      <x:c r="I235" s="92" t="n">
        <x:v>7.5848</x:v>
      </x:c>
      <x:c r="J235" s="92" t="str">
        <x:v>7584800000000000000</x:v>
      </x:c>
      <x:c r="K235" s="92" t="n">
        <x:v>7.5848</x:v>
      </x:c>
      <x:c r="L235" s="98" t="str">
        <x:v>PENDING_OWNER_ELIGIBILITY_APPROVAL</x:v>
      </x:c>
      <x:c r="M235" s="98" t="b">
        <x:f>IF(E235="EOA_CANDIDATE",I235&gt;='Decision Summary'!$B$11,FALSE)</x:f>
        <x:v>0</x:v>
      </x:c>
      <x:c r="N235" s="98" t="str">
        <x:f>IF(M235,"DRAFT INCLUDE","HOLD / EXCLUDE")</x:f>
        <x:v>HOLD / EXCLUDE</x:v>
      </x:c>
      <x:c r="O235" s="101" t="str">
        <x:f>IF(M235,C235,"")</x:f>
      </x:c>
      <x:c r="P235" s="98" t="str">
        <x:f>IF(N235="DRAFT INCLUDE",ROUNDUP(COUNTIF($N$6:N235,"DRAFT INCLUDE")/'Decision Summary'!$B$12,0),"")</x:f>
      </x:c>
      <x:c r="Q235" s="98" t="str">
        <x:f>IF(N235="DRAFT INCLUDE",MOD(COUNTIF($N$6:N235,"DRAFT INCLUDE")-1,'Decision Summary'!$B$12)+1,"")</x:f>
      </x:c>
      <x:c r="R235" s="98" t="str">
        <x:v>PENDING</x:v>
      </x:c>
      <x:c r="S235" s="98" t="str"/>
      <x:c r="T235" s="98" t="str">
        <x:v>Ordinary EOA candidate; inclusion still depends on V1 deprecation, threshold policy and owner approval.</x:v>
      </x:c>
      <x:c r="U235" s="89" t="str">
        <x:v>https://etherscan.io/token/0x445d03f499f1c150615957bb87588fb465fc91cc#balances</x:v>
      </x:c>
      <x:c r="V235" s="89" t="b">
        <x:f>COUNTIF($C$6:$C$502,C235)&gt;1</x:f>
        <x:v>0</x:v>
      </x:c>
    </x:row>
    <x:row r="236">
      <x:c r="A236" s="89" t="n">
        <x:v>231</x:v>
      </x:c>
      <x:c r="B236" s="89" t="str">
        <x:v>v1-mainnet-0231</x:v>
      </x:c>
      <x:c r="C236" s="90" t="str">
        <x:v>0xc1ce31ab9e2d8bed339f45c1080332c1c9327730</x:v>
      </x:c>
      <x:c r="D236" s="98" t="str"/>
      <x:c r="E236" s="98" t="str">
        <x:v>EOA_CANDIDATE</x:v>
      </x:c>
      <x:c r="F236" s="91" t="b">
        <x:v>0</x:v>
      </x:c>
      <x:c r="G236" s="89" t="n">
        <x:v>0</x:v>
      </x:c>
      <x:c r="H236" s="90" t="str">
        <x:v>7549800000000</x:v>
      </x:c>
      <x:c r="I236" s="92" t="n">
        <x:v>7.5498</x:v>
      </x:c>
      <x:c r="J236" s="92" t="str">
        <x:v>7549800000000000000</x:v>
      </x:c>
      <x:c r="K236" s="92" t="n">
        <x:v>7.5498</x:v>
      </x:c>
      <x:c r="L236" s="98" t="str">
        <x:v>PENDING_OWNER_ELIGIBILITY_APPROVAL</x:v>
      </x:c>
      <x:c r="M236" s="98" t="b">
        <x:f>IF(E236="EOA_CANDIDATE",I236&gt;='Decision Summary'!$B$11,FALSE)</x:f>
        <x:v>0</x:v>
      </x:c>
      <x:c r="N236" s="98" t="str">
        <x:f>IF(M236,"DRAFT INCLUDE","HOLD / EXCLUDE")</x:f>
        <x:v>HOLD / EXCLUDE</x:v>
      </x:c>
      <x:c r="O236" s="101" t="str">
        <x:f>IF(M236,C236,"")</x:f>
      </x:c>
      <x:c r="P236" s="98" t="str">
        <x:f>IF(N236="DRAFT INCLUDE",ROUNDUP(COUNTIF($N$6:N236,"DRAFT INCLUDE")/'Decision Summary'!$B$12,0),"")</x:f>
      </x:c>
      <x:c r="Q236" s="98" t="str">
        <x:f>IF(N236="DRAFT INCLUDE",MOD(COUNTIF($N$6:N236,"DRAFT INCLUDE")-1,'Decision Summary'!$B$12)+1,"")</x:f>
      </x:c>
      <x:c r="R236" s="98" t="str">
        <x:v>PENDING</x:v>
      </x:c>
      <x:c r="S236" s="98" t="str"/>
      <x:c r="T236" s="98" t="str">
        <x:v>Ordinary EOA candidate; inclusion still depends on V1 deprecation, threshold policy and owner approval.</x:v>
      </x:c>
      <x:c r="U236" s="89" t="str">
        <x:v>https://etherscan.io/token/0x445d03f499f1c150615957bb87588fb465fc91cc#balances</x:v>
      </x:c>
      <x:c r="V236" s="89" t="b">
        <x:f>COUNTIF($C$6:$C$502,C236)&gt;1</x:f>
        <x:v>0</x:v>
      </x:c>
    </x:row>
    <x:row r="237">
      <x:c r="A237" s="89" t="n">
        <x:v>232</x:v>
      </x:c>
      <x:c r="B237" s="89" t="str">
        <x:v>v1-mainnet-0232</x:v>
      </x:c>
      <x:c r="C237" s="90" t="str">
        <x:v>0x6f5be359625d3d5e825f77af126ea06e5e90ecc4</x:v>
      </x:c>
      <x:c r="D237" s="98" t="str"/>
      <x:c r="E237" s="98" t="str">
        <x:v>EOA_CANDIDATE</x:v>
      </x:c>
      <x:c r="F237" s="91" t="b">
        <x:v>0</x:v>
      </x:c>
      <x:c r="G237" s="89" t="n">
        <x:v>0</x:v>
      </x:c>
      <x:c r="H237" s="90" t="str">
        <x:v>7468400000000</x:v>
      </x:c>
      <x:c r="I237" s="92" t="n">
        <x:v>7.4684</x:v>
      </x:c>
      <x:c r="J237" s="92" t="str">
        <x:v>7468400000000000000</x:v>
      </x:c>
      <x:c r="K237" s="92" t="n">
        <x:v>7.4684</x:v>
      </x:c>
      <x:c r="L237" s="98" t="str">
        <x:v>PENDING_OWNER_ELIGIBILITY_APPROVAL</x:v>
      </x:c>
      <x:c r="M237" s="98" t="b">
        <x:f>IF(E237="EOA_CANDIDATE",I237&gt;='Decision Summary'!$B$11,FALSE)</x:f>
        <x:v>0</x:v>
      </x:c>
      <x:c r="N237" s="98" t="str">
        <x:f>IF(M237,"DRAFT INCLUDE","HOLD / EXCLUDE")</x:f>
        <x:v>HOLD / EXCLUDE</x:v>
      </x:c>
      <x:c r="O237" s="101" t="str">
        <x:f>IF(M237,C237,"")</x:f>
      </x:c>
      <x:c r="P237" s="98" t="str">
        <x:f>IF(N237="DRAFT INCLUDE",ROUNDUP(COUNTIF($N$6:N237,"DRAFT INCLUDE")/'Decision Summary'!$B$12,0),"")</x:f>
      </x:c>
      <x:c r="Q237" s="98" t="str">
        <x:f>IF(N237="DRAFT INCLUDE",MOD(COUNTIF($N$6:N237,"DRAFT INCLUDE")-1,'Decision Summary'!$B$12)+1,"")</x:f>
      </x:c>
      <x:c r="R237" s="98" t="str">
        <x:v>PENDING</x:v>
      </x:c>
      <x:c r="S237" s="98" t="str"/>
      <x:c r="T237" s="98" t="str">
        <x:v>Ordinary EOA candidate; inclusion still depends on V1 deprecation, threshold policy and owner approval.</x:v>
      </x:c>
      <x:c r="U237" s="89" t="str">
        <x:v>https://etherscan.io/token/0x445d03f499f1c150615957bb87588fb465fc91cc#balances</x:v>
      </x:c>
      <x:c r="V237" s="89" t="b">
        <x:f>COUNTIF($C$6:$C$502,C237)&gt;1</x:f>
        <x:v>0</x:v>
      </x:c>
    </x:row>
    <x:row r="238">
      <x:c r="A238" s="89" t="n">
        <x:v>233</x:v>
      </x:c>
      <x:c r="B238" s="89" t="str">
        <x:v>v1-mainnet-0233</x:v>
      </x:c>
      <x:c r="C238" s="90" t="str">
        <x:v>0xe6b862f125555a32aedebae977c97f932818d8de</x:v>
      </x:c>
      <x:c r="D238" s="98" t="str"/>
      <x:c r="E238" s="98" t="str">
        <x:v>EOA_CANDIDATE</x:v>
      </x:c>
      <x:c r="F238" s="91" t="b">
        <x:v>0</x:v>
      </x:c>
      <x:c r="G238" s="89" t="n">
        <x:v>0</x:v>
      </x:c>
      <x:c r="H238" s="90" t="str">
        <x:v>7458900000000</x:v>
      </x:c>
      <x:c r="I238" s="92" t="n">
        <x:v>7.4589</x:v>
      </x:c>
      <x:c r="J238" s="92" t="str">
        <x:v>7458900000000000000</x:v>
      </x:c>
      <x:c r="K238" s="92" t="n">
        <x:v>7.4589</x:v>
      </x:c>
      <x:c r="L238" s="98" t="str">
        <x:v>PENDING_OWNER_ELIGIBILITY_APPROVAL</x:v>
      </x:c>
      <x:c r="M238" s="98" t="b">
        <x:f>IF(E238="EOA_CANDIDATE",I238&gt;='Decision Summary'!$B$11,FALSE)</x:f>
        <x:v>0</x:v>
      </x:c>
      <x:c r="N238" s="98" t="str">
        <x:f>IF(M238,"DRAFT INCLUDE","HOLD / EXCLUDE")</x:f>
        <x:v>HOLD / EXCLUDE</x:v>
      </x:c>
      <x:c r="O238" s="101" t="str">
        <x:f>IF(M238,C238,"")</x:f>
      </x:c>
      <x:c r="P238" s="98" t="str">
        <x:f>IF(N238="DRAFT INCLUDE",ROUNDUP(COUNTIF($N$6:N238,"DRAFT INCLUDE")/'Decision Summary'!$B$12,0),"")</x:f>
      </x:c>
      <x:c r="Q238" s="98" t="str">
        <x:f>IF(N238="DRAFT INCLUDE",MOD(COUNTIF($N$6:N238,"DRAFT INCLUDE")-1,'Decision Summary'!$B$12)+1,"")</x:f>
      </x:c>
      <x:c r="R238" s="98" t="str">
        <x:v>PENDING</x:v>
      </x:c>
      <x:c r="S238" s="98" t="str"/>
      <x:c r="T238" s="98" t="str">
        <x:v>Ordinary EOA candidate; inclusion still depends on V1 deprecation, threshold policy and owner approval.</x:v>
      </x:c>
      <x:c r="U238" s="89" t="str">
        <x:v>https://etherscan.io/token/0x445d03f499f1c150615957bb87588fb465fc91cc#balances</x:v>
      </x:c>
      <x:c r="V238" s="89" t="b">
        <x:f>COUNTIF($C$6:$C$502,C238)&gt;1</x:f>
        <x:v>0</x:v>
      </x:c>
    </x:row>
    <x:row r="239">
      <x:c r="A239" s="89" t="n">
        <x:v>234</x:v>
      </x:c>
      <x:c r="B239" s="89" t="str">
        <x:v>v1-mainnet-0234</x:v>
      </x:c>
      <x:c r="C239" s="90" t="str">
        <x:v>0xd6d7c5c5ea28a0eee7d22e81627ba7fb2e381fa5</x:v>
      </x:c>
      <x:c r="D239" s="98" t="str"/>
      <x:c r="E239" s="98" t="str">
        <x:v>EOA_CANDIDATE</x:v>
      </x:c>
      <x:c r="F239" s="91" t="b">
        <x:v>0</x:v>
      </x:c>
      <x:c r="G239" s="89" t="n">
        <x:v>0</x:v>
      </x:c>
      <x:c r="H239" s="90" t="str">
        <x:v>7452900000000</x:v>
      </x:c>
      <x:c r="I239" s="92" t="n">
        <x:v>7.4529</x:v>
      </x:c>
      <x:c r="J239" s="92" t="str">
        <x:v>7452900000000000000</x:v>
      </x:c>
      <x:c r="K239" s="92" t="n">
        <x:v>7.4529</x:v>
      </x:c>
      <x:c r="L239" s="98" t="str">
        <x:v>PENDING_OWNER_ELIGIBILITY_APPROVAL</x:v>
      </x:c>
      <x:c r="M239" s="98" t="b">
        <x:f>IF(E239="EOA_CANDIDATE",I239&gt;='Decision Summary'!$B$11,FALSE)</x:f>
        <x:v>0</x:v>
      </x:c>
      <x:c r="N239" s="98" t="str">
        <x:f>IF(M239,"DRAFT INCLUDE","HOLD / EXCLUDE")</x:f>
        <x:v>HOLD / EXCLUDE</x:v>
      </x:c>
      <x:c r="O239" s="101" t="str">
        <x:f>IF(M239,C239,"")</x:f>
      </x:c>
      <x:c r="P239" s="98" t="str">
        <x:f>IF(N239="DRAFT INCLUDE",ROUNDUP(COUNTIF($N$6:N239,"DRAFT INCLUDE")/'Decision Summary'!$B$12,0),"")</x:f>
      </x:c>
      <x:c r="Q239" s="98" t="str">
        <x:f>IF(N239="DRAFT INCLUDE",MOD(COUNTIF($N$6:N239,"DRAFT INCLUDE")-1,'Decision Summary'!$B$12)+1,"")</x:f>
      </x:c>
      <x:c r="R239" s="98" t="str">
        <x:v>PENDING</x:v>
      </x:c>
      <x:c r="S239" s="98" t="str"/>
      <x:c r="T239" s="98" t="str">
        <x:v>Ordinary EOA candidate; inclusion still depends on V1 deprecation, threshold policy and owner approval.</x:v>
      </x:c>
      <x:c r="U239" s="89" t="str">
        <x:v>https://etherscan.io/token/0x445d03f499f1c150615957bb87588fb465fc91cc#balances</x:v>
      </x:c>
      <x:c r="V239" s="89" t="b">
        <x:f>COUNTIF($C$6:$C$502,C239)&gt;1</x:f>
        <x:v>0</x:v>
      </x:c>
    </x:row>
    <x:row r="240">
      <x:c r="A240" s="89" t="n">
        <x:v>235</x:v>
      </x:c>
      <x:c r="B240" s="89" t="str">
        <x:v>v1-mainnet-0235</x:v>
      </x:c>
      <x:c r="C240" s="90" t="str">
        <x:v>0x5637cec5f58cd6122ebda5af250f35266c3d9076</x:v>
      </x:c>
      <x:c r="D240" s="98" t="str"/>
      <x:c r="E240" s="98" t="str">
        <x:v>EOA_CANDIDATE</x:v>
      </x:c>
      <x:c r="F240" s="91" t="b">
        <x:v>0</x:v>
      </x:c>
      <x:c r="G240" s="89" t="n">
        <x:v>0</x:v>
      </x:c>
      <x:c r="H240" s="90" t="str">
        <x:v>7439900000000</x:v>
      </x:c>
      <x:c r="I240" s="92" t="n">
        <x:v>7.4399</x:v>
      </x:c>
      <x:c r="J240" s="92" t="str">
        <x:v>7439900000000000000</x:v>
      </x:c>
      <x:c r="K240" s="92" t="n">
        <x:v>7.4399</x:v>
      </x:c>
      <x:c r="L240" s="98" t="str">
        <x:v>PENDING_OWNER_ELIGIBILITY_APPROVAL</x:v>
      </x:c>
      <x:c r="M240" s="98" t="b">
        <x:f>IF(E240="EOA_CANDIDATE",I240&gt;='Decision Summary'!$B$11,FALSE)</x:f>
        <x:v>0</x:v>
      </x:c>
      <x:c r="N240" s="98" t="str">
        <x:f>IF(M240,"DRAFT INCLUDE","HOLD / EXCLUDE")</x:f>
        <x:v>HOLD / EXCLUDE</x:v>
      </x:c>
      <x:c r="O240" s="101" t="str">
        <x:f>IF(M240,C240,"")</x:f>
      </x:c>
      <x:c r="P240" s="98" t="str">
        <x:f>IF(N240="DRAFT INCLUDE",ROUNDUP(COUNTIF($N$6:N240,"DRAFT INCLUDE")/'Decision Summary'!$B$12,0),"")</x:f>
      </x:c>
      <x:c r="Q240" s="98" t="str">
        <x:f>IF(N240="DRAFT INCLUDE",MOD(COUNTIF($N$6:N240,"DRAFT INCLUDE")-1,'Decision Summary'!$B$12)+1,"")</x:f>
      </x:c>
      <x:c r="R240" s="98" t="str">
        <x:v>PENDING</x:v>
      </x:c>
      <x:c r="S240" s="98" t="str"/>
      <x:c r="T240" s="98" t="str">
        <x:v>Ordinary EOA candidate; inclusion still depends on V1 deprecation, threshold policy and owner approval.</x:v>
      </x:c>
      <x:c r="U240" s="89" t="str">
        <x:v>https://etherscan.io/token/0x445d03f499f1c150615957bb87588fb465fc91cc#balances</x:v>
      </x:c>
      <x:c r="V240" s="89" t="b">
        <x:f>COUNTIF($C$6:$C$502,C240)&gt;1</x:f>
        <x:v>0</x:v>
      </x:c>
    </x:row>
    <x:row r="241">
      <x:c r="A241" s="89" t="n">
        <x:v>236</x:v>
      </x:c>
      <x:c r="B241" s="89" t="str">
        <x:v>v1-mainnet-0236</x:v>
      </x:c>
      <x:c r="C241" s="90" t="str">
        <x:v>0x662cdc6ae2cd48e73f76ce653bbae4935f549e65</x:v>
      </x:c>
      <x:c r="D241" s="98" t="str"/>
      <x:c r="E241" s="98" t="str">
        <x:v>EOA_CANDIDATE</x:v>
      </x:c>
      <x:c r="F241" s="91" t="b">
        <x:v>0</x:v>
      </x:c>
      <x:c r="G241" s="89" t="n">
        <x:v>0</x:v>
      </x:c>
      <x:c r="H241" s="90" t="str">
        <x:v>7415300000000</x:v>
      </x:c>
      <x:c r="I241" s="92" t="n">
        <x:v>7.4153</x:v>
      </x:c>
      <x:c r="J241" s="92" t="str">
        <x:v>7415300000000000000</x:v>
      </x:c>
      <x:c r="K241" s="92" t="n">
        <x:v>7.4153</x:v>
      </x:c>
      <x:c r="L241" s="98" t="str">
        <x:v>PENDING_OWNER_ELIGIBILITY_APPROVAL</x:v>
      </x:c>
      <x:c r="M241" s="98" t="b">
        <x:f>IF(E241="EOA_CANDIDATE",I241&gt;='Decision Summary'!$B$11,FALSE)</x:f>
        <x:v>0</x:v>
      </x:c>
      <x:c r="N241" s="98" t="str">
        <x:f>IF(M241,"DRAFT INCLUDE","HOLD / EXCLUDE")</x:f>
        <x:v>HOLD / EXCLUDE</x:v>
      </x:c>
      <x:c r="O241" s="101" t="str">
        <x:f>IF(M241,C241,"")</x:f>
      </x:c>
      <x:c r="P241" s="98" t="str">
        <x:f>IF(N241="DRAFT INCLUDE",ROUNDUP(COUNTIF($N$6:N241,"DRAFT INCLUDE")/'Decision Summary'!$B$12,0),"")</x:f>
      </x:c>
      <x:c r="Q241" s="98" t="str">
        <x:f>IF(N241="DRAFT INCLUDE",MOD(COUNTIF($N$6:N241,"DRAFT INCLUDE")-1,'Decision Summary'!$B$12)+1,"")</x:f>
      </x:c>
      <x:c r="R241" s="98" t="str">
        <x:v>PENDING</x:v>
      </x:c>
      <x:c r="S241" s="98" t="str"/>
      <x:c r="T241" s="98" t="str">
        <x:v>Ordinary EOA candidate; inclusion still depends on V1 deprecation, threshold policy and owner approval.</x:v>
      </x:c>
      <x:c r="U241" s="89" t="str">
        <x:v>https://etherscan.io/token/0x445d03f499f1c150615957bb87588fb465fc91cc#balances</x:v>
      </x:c>
      <x:c r="V241" s="89" t="b">
        <x:f>COUNTIF($C$6:$C$502,C241)&gt;1</x:f>
        <x:v>0</x:v>
      </x:c>
    </x:row>
    <x:row r="242">
      <x:c r="A242" s="89" t="n">
        <x:v>237</x:v>
      </x:c>
      <x:c r="B242" s="89" t="str">
        <x:v>v1-mainnet-0237</x:v>
      </x:c>
      <x:c r="C242" s="90" t="str">
        <x:v>0x33217e54a8dd2ba3b2e1a74ead77c3759a1d705e</x:v>
      </x:c>
      <x:c r="D242" s="98" t="str"/>
      <x:c r="E242" s="98" t="str">
        <x:v>EOA_CANDIDATE</x:v>
      </x:c>
      <x:c r="F242" s="91" t="b">
        <x:v>0</x:v>
      </x:c>
      <x:c r="G242" s="89" t="n">
        <x:v>0</x:v>
      </x:c>
      <x:c r="H242" s="90" t="str">
        <x:v>7374900000000</x:v>
      </x:c>
      <x:c r="I242" s="92" t="n">
        <x:v>7.3749</x:v>
      </x:c>
      <x:c r="J242" s="92" t="str">
        <x:v>7374900000000000000</x:v>
      </x:c>
      <x:c r="K242" s="92" t="n">
        <x:v>7.3749</x:v>
      </x:c>
      <x:c r="L242" s="98" t="str">
        <x:v>PENDING_OWNER_ELIGIBILITY_APPROVAL</x:v>
      </x:c>
      <x:c r="M242" s="98" t="b">
        <x:f>IF(E242="EOA_CANDIDATE",I242&gt;='Decision Summary'!$B$11,FALSE)</x:f>
        <x:v>0</x:v>
      </x:c>
      <x:c r="N242" s="98" t="str">
        <x:f>IF(M242,"DRAFT INCLUDE","HOLD / EXCLUDE")</x:f>
        <x:v>HOLD / EXCLUDE</x:v>
      </x:c>
      <x:c r="O242" s="101" t="str">
        <x:f>IF(M242,C242,"")</x:f>
      </x:c>
      <x:c r="P242" s="98" t="str">
        <x:f>IF(N242="DRAFT INCLUDE",ROUNDUP(COUNTIF($N$6:N242,"DRAFT INCLUDE")/'Decision Summary'!$B$12,0),"")</x:f>
      </x:c>
      <x:c r="Q242" s="98" t="str">
        <x:f>IF(N242="DRAFT INCLUDE",MOD(COUNTIF($N$6:N242,"DRAFT INCLUDE")-1,'Decision Summary'!$B$12)+1,"")</x:f>
      </x:c>
      <x:c r="R242" s="98" t="str">
        <x:v>PENDING</x:v>
      </x:c>
      <x:c r="S242" s="98" t="str"/>
      <x:c r="T242" s="98" t="str">
        <x:v>Ordinary EOA candidate; inclusion still depends on V1 deprecation, threshold policy and owner approval.</x:v>
      </x:c>
      <x:c r="U242" s="89" t="str">
        <x:v>https://etherscan.io/token/0x445d03f499f1c150615957bb87588fb465fc91cc#balances</x:v>
      </x:c>
      <x:c r="V242" s="89" t="b">
        <x:f>COUNTIF($C$6:$C$502,C242)&gt;1</x:f>
        <x:v>0</x:v>
      </x:c>
    </x:row>
    <x:row r="243">
      <x:c r="A243" s="89" t="n">
        <x:v>238</x:v>
      </x:c>
      <x:c r="B243" s="89" t="str">
        <x:v>v1-mainnet-0238</x:v>
      </x:c>
      <x:c r="C243" s="90" t="str">
        <x:v>0x76ec8e918c92c7ce22ffe43b510a5b6a02044c03</x:v>
      </x:c>
      <x:c r="D243" s="98" t="str"/>
      <x:c r="E243" s="98" t="str">
        <x:v>EOA_CANDIDATE</x:v>
      </x:c>
      <x:c r="F243" s="91" t="b">
        <x:v>0</x:v>
      </x:c>
      <x:c r="G243" s="89" t="n">
        <x:v>0</x:v>
      </x:c>
      <x:c r="H243" s="90" t="str">
        <x:v>7350500000000</x:v>
      </x:c>
      <x:c r="I243" s="92" t="n">
        <x:v>7.3505</x:v>
      </x:c>
      <x:c r="J243" s="92" t="str">
        <x:v>7350500000000000000</x:v>
      </x:c>
      <x:c r="K243" s="92" t="n">
        <x:v>7.3505</x:v>
      </x:c>
      <x:c r="L243" s="98" t="str">
        <x:v>PENDING_OWNER_ELIGIBILITY_APPROVAL</x:v>
      </x:c>
      <x:c r="M243" s="98" t="b">
        <x:f>IF(E243="EOA_CANDIDATE",I243&gt;='Decision Summary'!$B$11,FALSE)</x:f>
        <x:v>0</x:v>
      </x:c>
      <x:c r="N243" s="98" t="str">
        <x:f>IF(M243,"DRAFT INCLUDE","HOLD / EXCLUDE")</x:f>
        <x:v>HOLD / EXCLUDE</x:v>
      </x:c>
      <x:c r="O243" s="101" t="str">
        <x:f>IF(M243,C243,"")</x:f>
      </x:c>
      <x:c r="P243" s="98" t="str">
        <x:f>IF(N243="DRAFT INCLUDE",ROUNDUP(COUNTIF($N$6:N243,"DRAFT INCLUDE")/'Decision Summary'!$B$12,0),"")</x:f>
      </x:c>
      <x:c r="Q243" s="98" t="str">
        <x:f>IF(N243="DRAFT INCLUDE",MOD(COUNTIF($N$6:N243,"DRAFT INCLUDE")-1,'Decision Summary'!$B$12)+1,"")</x:f>
      </x:c>
      <x:c r="R243" s="98" t="str">
        <x:v>PENDING</x:v>
      </x:c>
      <x:c r="S243" s="98" t="str"/>
      <x:c r="T243" s="98" t="str">
        <x:v>Ordinary EOA candidate; inclusion still depends on V1 deprecation, threshold policy and owner approval.</x:v>
      </x:c>
      <x:c r="U243" s="89" t="str">
        <x:v>https://etherscan.io/token/0x445d03f499f1c150615957bb87588fb465fc91cc#balances</x:v>
      </x:c>
      <x:c r="V243" s="89" t="b">
        <x:f>COUNTIF($C$6:$C$502,C243)&gt;1</x:f>
        <x:v>0</x:v>
      </x:c>
    </x:row>
    <x:row r="244">
      <x:c r="A244" s="89" t="n">
        <x:v>239</x:v>
      </x:c>
      <x:c r="B244" s="89" t="str">
        <x:v>v1-mainnet-0239</x:v>
      </x:c>
      <x:c r="C244" s="90" t="str">
        <x:v>0x4775fd9bf4b939a0b3938a13144b78a33744956b</x:v>
      </x:c>
      <x:c r="D244" s="98" t="str"/>
      <x:c r="E244" s="98" t="str">
        <x:v>EOA_CANDIDATE</x:v>
      </x:c>
      <x:c r="F244" s="91" t="b">
        <x:v>0</x:v>
      </x:c>
      <x:c r="G244" s="89" t="n">
        <x:v>0</x:v>
      </x:c>
      <x:c r="H244" s="90" t="str">
        <x:v>7347800000000</x:v>
      </x:c>
      <x:c r="I244" s="92" t="n">
        <x:v>7.3478</x:v>
      </x:c>
      <x:c r="J244" s="92" t="str">
        <x:v>7347800000000000000</x:v>
      </x:c>
      <x:c r="K244" s="92" t="n">
        <x:v>7.3478</x:v>
      </x:c>
      <x:c r="L244" s="98" t="str">
        <x:v>PENDING_OWNER_ELIGIBILITY_APPROVAL</x:v>
      </x:c>
      <x:c r="M244" s="98" t="b">
        <x:f>IF(E244="EOA_CANDIDATE",I244&gt;='Decision Summary'!$B$11,FALSE)</x:f>
        <x:v>0</x:v>
      </x:c>
      <x:c r="N244" s="98" t="str">
        <x:f>IF(M244,"DRAFT INCLUDE","HOLD / EXCLUDE")</x:f>
        <x:v>HOLD / EXCLUDE</x:v>
      </x:c>
      <x:c r="O244" s="101" t="str">
        <x:f>IF(M244,C244,"")</x:f>
      </x:c>
      <x:c r="P244" s="98" t="str">
        <x:f>IF(N244="DRAFT INCLUDE",ROUNDUP(COUNTIF($N$6:N244,"DRAFT INCLUDE")/'Decision Summary'!$B$12,0),"")</x:f>
      </x:c>
      <x:c r="Q244" s="98" t="str">
        <x:f>IF(N244="DRAFT INCLUDE",MOD(COUNTIF($N$6:N244,"DRAFT INCLUDE")-1,'Decision Summary'!$B$12)+1,"")</x:f>
      </x:c>
      <x:c r="R244" s="98" t="str">
        <x:v>PENDING</x:v>
      </x:c>
      <x:c r="S244" s="98" t="str"/>
      <x:c r="T244" s="98" t="str">
        <x:v>Ordinary EOA candidate; inclusion still depends on V1 deprecation, threshold policy and owner approval.</x:v>
      </x:c>
      <x:c r="U244" s="89" t="str">
        <x:v>https://etherscan.io/token/0x445d03f499f1c150615957bb87588fb465fc91cc#balances</x:v>
      </x:c>
      <x:c r="V244" s="89" t="b">
        <x:f>COUNTIF($C$6:$C$502,C244)&gt;1</x:f>
        <x:v>0</x:v>
      </x:c>
    </x:row>
    <x:row r="245">
      <x:c r="A245" s="89" t="n">
        <x:v>240</x:v>
      </x:c>
      <x:c r="B245" s="89" t="str">
        <x:v>v1-mainnet-0240</x:v>
      </x:c>
      <x:c r="C245" s="90" t="str">
        <x:v>0x66ae079790c1ff4e574cf549543e38a2a41028a8</x:v>
      </x:c>
      <x:c r="D245" s="98" t="str"/>
      <x:c r="E245" s="98" t="str">
        <x:v>EOA_CANDIDATE</x:v>
      </x:c>
      <x:c r="F245" s="91" t="b">
        <x:v>0</x:v>
      </x:c>
      <x:c r="G245" s="89" t="n">
        <x:v>0</x:v>
      </x:c>
      <x:c r="H245" s="90" t="str">
        <x:v>7339600000000</x:v>
      </x:c>
      <x:c r="I245" s="92" t="n">
        <x:v>7.3396</x:v>
      </x:c>
      <x:c r="J245" s="92" t="str">
        <x:v>7339600000000000000</x:v>
      </x:c>
      <x:c r="K245" s="92" t="n">
        <x:v>7.3396</x:v>
      </x:c>
      <x:c r="L245" s="98" t="str">
        <x:v>PENDING_OWNER_ELIGIBILITY_APPROVAL</x:v>
      </x:c>
      <x:c r="M245" s="98" t="b">
        <x:f>IF(E245="EOA_CANDIDATE",I245&gt;='Decision Summary'!$B$11,FALSE)</x:f>
        <x:v>0</x:v>
      </x:c>
      <x:c r="N245" s="98" t="str">
        <x:f>IF(M245,"DRAFT INCLUDE","HOLD / EXCLUDE")</x:f>
        <x:v>HOLD / EXCLUDE</x:v>
      </x:c>
      <x:c r="O245" s="101" t="str">
        <x:f>IF(M245,C245,"")</x:f>
      </x:c>
      <x:c r="P245" s="98" t="str">
        <x:f>IF(N245="DRAFT INCLUDE",ROUNDUP(COUNTIF($N$6:N245,"DRAFT INCLUDE")/'Decision Summary'!$B$12,0),"")</x:f>
      </x:c>
      <x:c r="Q245" s="98" t="str">
        <x:f>IF(N245="DRAFT INCLUDE",MOD(COUNTIF($N$6:N245,"DRAFT INCLUDE")-1,'Decision Summary'!$B$12)+1,"")</x:f>
      </x:c>
      <x:c r="R245" s="98" t="str">
        <x:v>PENDING</x:v>
      </x:c>
      <x:c r="S245" s="98" t="str"/>
      <x:c r="T245" s="98" t="str">
        <x:v>Ordinary EOA candidate; inclusion still depends on V1 deprecation, threshold policy and owner approval.</x:v>
      </x:c>
      <x:c r="U245" s="89" t="str">
        <x:v>https://etherscan.io/token/0x445d03f499f1c150615957bb87588fb465fc91cc#balances</x:v>
      </x:c>
      <x:c r="V245" s="89" t="b">
        <x:f>COUNTIF($C$6:$C$502,C245)&gt;1</x:f>
        <x:v>0</x:v>
      </x:c>
    </x:row>
    <x:row r="246">
      <x:c r="A246" s="89" t="n">
        <x:v>241</x:v>
      </x:c>
      <x:c r="B246" s="89" t="str">
        <x:v>v1-mainnet-0241</x:v>
      </x:c>
      <x:c r="C246" s="90" t="str">
        <x:v>0x73e1fd09558925c0bcca8af7e9438c5711f01f00</x:v>
      </x:c>
      <x:c r="D246" s="98" t="str"/>
      <x:c r="E246" s="98" t="str">
        <x:v>EOA_CANDIDATE</x:v>
      </x:c>
      <x:c r="F246" s="91" t="b">
        <x:v>0</x:v>
      </x:c>
      <x:c r="G246" s="89" t="n">
        <x:v>0</x:v>
      </x:c>
      <x:c r="H246" s="90" t="str">
        <x:v>7287000000000</x:v>
      </x:c>
      <x:c r="I246" s="92" t="n">
        <x:v>7.287</x:v>
      </x:c>
      <x:c r="J246" s="92" t="str">
        <x:v>7287000000000000000</x:v>
      </x:c>
      <x:c r="K246" s="92" t="n">
        <x:v>7.287</x:v>
      </x:c>
      <x:c r="L246" s="98" t="str">
        <x:v>PENDING_OWNER_ELIGIBILITY_APPROVAL</x:v>
      </x:c>
      <x:c r="M246" s="98" t="b">
        <x:f>IF(E246="EOA_CANDIDATE",I246&gt;='Decision Summary'!$B$11,FALSE)</x:f>
        <x:v>0</x:v>
      </x:c>
      <x:c r="N246" s="98" t="str">
        <x:f>IF(M246,"DRAFT INCLUDE","HOLD / EXCLUDE")</x:f>
        <x:v>HOLD / EXCLUDE</x:v>
      </x:c>
      <x:c r="O246" s="101" t="str">
        <x:f>IF(M246,C246,"")</x:f>
      </x:c>
      <x:c r="P246" s="98" t="str">
        <x:f>IF(N246="DRAFT INCLUDE",ROUNDUP(COUNTIF($N$6:N246,"DRAFT INCLUDE")/'Decision Summary'!$B$12,0),"")</x:f>
      </x:c>
      <x:c r="Q246" s="98" t="str">
        <x:f>IF(N246="DRAFT INCLUDE",MOD(COUNTIF($N$6:N246,"DRAFT INCLUDE")-1,'Decision Summary'!$B$12)+1,"")</x:f>
      </x:c>
      <x:c r="R246" s="98" t="str">
        <x:v>PENDING</x:v>
      </x:c>
      <x:c r="S246" s="98" t="str"/>
      <x:c r="T246" s="98" t="str">
        <x:v>Ordinary EOA candidate; inclusion still depends on V1 deprecation, threshold policy and owner approval.</x:v>
      </x:c>
      <x:c r="U246" s="89" t="str">
        <x:v>https://etherscan.io/token/0x445d03f499f1c150615957bb87588fb465fc91cc#balances</x:v>
      </x:c>
      <x:c r="V246" s="89" t="b">
        <x:f>COUNTIF($C$6:$C$502,C246)&gt;1</x:f>
        <x:v>0</x:v>
      </x:c>
    </x:row>
    <x:row r="247">
      <x:c r="A247" s="89" t="n">
        <x:v>242</x:v>
      </x:c>
      <x:c r="B247" s="89" t="str">
        <x:v>v1-mainnet-0242</x:v>
      </x:c>
      <x:c r="C247" s="90" t="str">
        <x:v>0x970f3e01dc6ea45ddc61cb11898975753273e9ac</x:v>
      </x:c>
      <x:c r="D247" s="98" t="str"/>
      <x:c r="E247" s="98" t="str">
        <x:v>EOA_CANDIDATE</x:v>
      </x:c>
      <x:c r="F247" s="91" t="b">
        <x:v>0</x:v>
      </x:c>
      <x:c r="G247" s="89" t="n">
        <x:v>0</x:v>
      </x:c>
      <x:c r="H247" s="90" t="str">
        <x:v>7246000000000</x:v>
      </x:c>
      <x:c r="I247" s="92" t="n">
        <x:v>7.246</x:v>
      </x:c>
      <x:c r="J247" s="92" t="str">
        <x:v>7246000000000000000</x:v>
      </x:c>
      <x:c r="K247" s="92" t="n">
        <x:v>7.246</x:v>
      </x:c>
      <x:c r="L247" s="98" t="str">
        <x:v>PENDING_OWNER_ELIGIBILITY_APPROVAL</x:v>
      </x:c>
      <x:c r="M247" s="98" t="b">
        <x:f>IF(E247="EOA_CANDIDATE",I247&gt;='Decision Summary'!$B$11,FALSE)</x:f>
        <x:v>0</x:v>
      </x:c>
      <x:c r="N247" s="98" t="str">
        <x:f>IF(M247,"DRAFT INCLUDE","HOLD / EXCLUDE")</x:f>
        <x:v>HOLD / EXCLUDE</x:v>
      </x:c>
      <x:c r="O247" s="101" t="str">
        <x:f>IF(M247,C247,"")</x:f>
      </x:c>
      <x:c r="P247" s="98" t="str">
        <x:f>IF(N247="DRAFT INCLUDE",ROUNDUP(COUNTIF($N$6:N247,"DRAFT INCLUDE")/'Decision Summary'!$B$12,0),"")</x:f>
      </x:c>
      <x:c r="Q247" s="98" t="str">
        <x:f>IF(N247="DRAFT INCLUDE",MOD(COUNTIF($N$6:N247,"DRAFT INCLUDE")-1,'Decision Summary'!$B$12)+1,"")</x:f>
      </x:c>
      <x:c r="R247" s="98" t="str">
        <x:v>PENDING</x:v>
      </x:c>
      <x:c r="S247" s="98" t="str"/>
      <x:c r="T247" s="98" t="str">
        <x:v>Ordinary EOA candidate; inclusion still depends on V1 deprecation, threshold policy and owner approval.</x:v>
      </x:c>
      <x:c r="U247" s="89" t="str">
        <x:v>https://etherscan.io/token/0x445d03f499f1c150615957bb87588fb465fc91cc#balances</x:v>
      </x:c>
      <x:c r="V247" s="89" t="b">
        <x:f>COUNTIF($C$6:$C$502,C247)&gt;1</x:f>
        <x:v>0</x:v>
      </x:c>
    </x:row>
    <x:row r="248">
      <x:c r="A248" s="89" t="n">
        <x:v>243</x:v>
      </x:c>
      <x:c r="B248" s="89" t="str">
        <x:v>v1-mainnet-0243</x:v>
      </x:c>
      <x:c r="C248" s="90" t="str">
        <x:v>0x28a530f721a6c1132ad5500305ae2560fda1ed1d</x:v>
      </x:c>
      <x:c r="D248" s="98" t="str"/>
      <x:c r="E248" s="98" t="str">
        <x:v>EOA_CANDIDATE</x:v>
      </x:c>
      <x:c r="F248" s="91" t="b">
        <x:v>0</x:v>
      </x:c>
      <x:c r="G248" s="89" t="n">
        <x:v>0</x:v>
      </x:c>
      <x:c r="H248" s="90" t="str">
        <x:v>7234100000000</x:v>
      </x:c>
      <x:c r="I248" s="92" t="n">
        <x:v>7.2341</x:v>
      </x:c>
      <x:c r="J248" s="92" t="str">
        <x:v>7234100000000000000</x:v>
      </x:c>
      <x:c r="K248" s="92" t="n">
        <x:v>7.2341</x:v>
      </x:c>
      <x:c r="L248" s="98" t="str">
        <x:v>PENDING_OWNER_ELIGIBILITY_APPROVAL</x:v>
      </x:c>
      <x:c r="M248" s="98" t="b">
        <x:f>IF(E248="EOA_CANDIDATE",I248&gt;='Decision Summary'!$B$11,FALSE)</x:f>
        <x:v>0</x:v>
      </x:c>
      <x:c r="N248" s="98" t="str">
        <x:f>IF(M248,"DRAFT INCLUDE","HOLD / EXCLUDE")</x:f>
        <x:v>HOLD / EXCLUDE</x:v>
      </x:c>
      <x:c r="O248" s="101" t="str">
        <x:f>IF(M248,C248,"")</x:f>
      </x:c>
      <x:c r="P248" s="98" t="str">
        <x:f>IF(N248="DRAFT INCLUDE",ROUNDUP(COUNTIF($N$6:N248,"DRAFT INCLUDE")/'Decision Summary'!$B$12,0),"")</x:f>
      </x:c>
      <x:c r="Q248" s="98" t="str">
        <x:f>IF(N248="DRAFT INCLUDE",MOD(COUNTIF($N$6:N248,"DRAFT INCLUDE")-1,'Decision Summary'!$B$12)+1,"")</x:f>
      </x:c>
      <x:c r="R248" s="98" t="str">
        <x:v>PENDING</x:v>
      </x:c>
      <x:c r="S248" s="98" t="str"/>
      <x:c r="T248" s="98" t="str">
        <x:v>Ordinary EOA candidate; inclusion still depends on V1 deprecation, threshold policy and owner approval.</x:v>
      </x:c>
      <x:c r="U248" s="89" t="str">
        <x:v>https://etherscan.io/token/0x445d03f499f1c150615957bb87588fb465fc91cc#balances</x:v>
      </x:c>
      <x:c r="V248" s="89" t="b">
        <x:f>COUNTIF($C$6:$C$502,C248)&gt;1</x:f>
        <x:v>0</x:v>
      </x:c>
    </x:row>
    <x:row r="249">
      <x:c r="A249" s="89" t="n">
        <x:v>244</x:v>
      </x:c>
      <x:c r="B249" s="89" t="str">
        <x:v>v1-mainnet-0244</x:v>
      </x:c>
      <x:c r="C249" s="90" t="str">
        <x:v>0x3ee455e731014079a5a46542f7da9f214d98c3a8</x:v>
      </x:c>
      <x:c r="D249" s="98" t="str"/>
      <x:c r="E249" s="98" t="str">
        <x:v>EOA_CANDIDATE</x:v>
      </x:c>
      <x:c r="F249" s="91" t="b">
        <x:v>0</x:v>
      </x:c>
      <x:c r="G249" s="89" t="n">
        <x:v>0</x:v>
      </x:c>
      <x:c r="H249" s="90" t="str">
        <x:v>7220200000000</x:v>
      </x:c>
      <x:c r="I249" s="92" t="n">
        <x:v>7.2202</x:v>
      </x:c>
      <x:c r="J249" s="92" t="str">
        <x:v>7220200000000000000</x:v>
      </x:c>
      <x:c r="K249" s="92" t="n">
        <x:v>7.2202</x:v>
      </x:c>
      <x:c r="L249" s="98" t="str">
        <x:v>PENDING_OWNER_ELIGIBILITY_APPROVAL</x:v>
      </x:c>
      <x:c r="M249" s="98" t="b">
        <x:f>IF(E249="EOA_CANDIDATE",I249&gt;='Decision Summary'!$B$11,FALSE)</x:f>
        <x:v>0</x:v>
      </x:c>
      <x:c r="N249" s="98" t="str">
        <x:f>IF(M249,"DRAFT INCLUDE","HOLD / EXCLUDE")</x:f>
        <x:v>HOLD / EXCLUDE</x:v>
      </x:c>
      <x:c r="O249" s="101" t="str">
        <x:f>IF(M249,C249,"")</x:f>
      </x:c>
      <x:c r="P249" s="98" t="str">
        <x:f>IF(N249="DRAFT INCLUDE",ROUNDUP(COUNTIF($N$6:N249,"DRAFT INCLUDE")/'Decision Summary'!$B$12,0),"")</x:f>
      </x:c>
      <x:c r="Q249" s="98" t="str">
        <x:f>IF(N249="DRAFT INCLUDE",MOD(COUNTIF($N$6:N249,"DRAFT INCLUDE")-1,'Decision Summary'!$B$12)+1,"")</x:f>
      </x:c>
      <x:c r="R249" s="98" t="str">
        <x:v>PENDING</x:v>
      </x:c>
      <x:c r="S249" s="98" t="str"/>
      <x:c r="T249" s="98" t="str">
        <x:v>Ordinary EOA candidate; inclusion still depends on V1 deprecation, threshold policy and owner approval.</x:v>
      </x:c>
      <x:c r="U249" s="89" t="str">
        <x:v>https://etherscan.io/token/0x445d03f499f1c150615957bb87588fb465fc91cc#balances</x:v>
      </x:c>
      <x:c r="V249" s="89" t="b">
        <x:f>COUNTIF($C$6:$C$502,C249)&gt;1</x:f>
        <x:v>0</x:v>
      </x:c>
    </x:row>
    <x:row r="250">
      <x:c r="A250" s="89" t="n">
        <x:v>245</x:v>
      </x:c>
      <x:c r="B250" s="89" t="str">
        <x:v>v1-mainnet-0245</x:v>
      </x:c>
      <x:c r="C250" s="90" t="str">
        <x:v>0x5deaf593d8ff290d7d5f27b8222caeddef8a854d</x:v>
      </x:c>
      <x:c r="D250" s="98" t="str"/>
      <x:c r="E250" s="98" t="str">
        <x:v>EOA_CANDIDATE</x:v>
      </x:c>
      <x:c r="F250" s="91" t="b">
        <x:v>0</x:v>
      </x:c>
      <x:c r="G250" s="89" t="n">
        <x:v>0</x:v>
      </x:c>
      <x:c r="H250" s="90" t="str">
        <x:v>7209000000000</x:v>
      </x:c>
      <x:c r="I250" s="92" t="n">
        <x:v>7.209</x:v>
      </x:c>
      <x:c r="J250" s="92" t="str">
        <x:v>7209000000000000000</x:v>
      </x:c>
      <x:c r="K250" s="92" t="n">
        <x:v>7.209</x:v>
      </x:c>
      <x:c r="L250" s="98" t="str">
        <x:v>PENDING_OWNER_ELIGIBILITY_APPROVAL</x:v>
      </x:c>
      <x:c r="M250" s="98" t="b">
        <x:f>IF(E250="EOA_CANDIDATE",I250&gt;='Decision Summary'!$B$11,FALSE)</x:f>
        <x:v>0</x:v>
      </x:c>
      <x:c r="N250" s="98" t="str">
        <x:f>IF(M250,"DRAFT INCLUDE","HOLD / EXCLUDE")</x:f>
        <x:v>HOLD / EXCLUDE</x:v>
      </x:c>
      <x:c r="O250" s="101" t="str">
        <x:f>IF(M250,C250,"")</x:f>
      </x:c>
      <x:c r="P250" s="98" t="str">
        <x:f>IF(N250="DRAFT INCLUDE",ROUNDUP(COUNTIF($N$6:N250,"DRAFT INCLUDE")/'Decision Summary'!$B$12,0),"")</x:f>
      </x:c>
      <x:c r="Q250" s="98" t="str">
        <x:f>IF(N250="DRAFT INCLUDE",MOD(COUNTIF($N$6:N250,"DRAFT INCLUDE")-1,'Decision Summary'!$B$12)+1,"")</x:f>
      </x:c>
      <x:c r="R250" s="98" t="str">
        <x:v>PENDING</x:v>
      </x:c>
      <x:c r="S250" s="98" t="str"/>
      <x:c r="T250" s="98" t="str">
        <x:v>Ordinary EOA candidate; inclusion still depends on V1 deprecation, threshold policy and owner approval.</x:v>
      </x:c>
      <x:c r="U250" s="89" t="str">
        <x:v>https://etherscan.io/token/0x445d03f499f1c150615957bb87588fb465fc91cc#balances</x:v>
      </x:c>
      <x:c r="V250" s="89" t="b">
        <x:f>COUNTIF($C$6:$C$502,C250)&gt;1</x:f>
        <x:v>0</x:v>
      </x:c>
    </x:row>
    <x:row r="251">
      <x:c r="A251" s="89" t="n">
        <x:v>246</x:v>
      </x:c>
      <x:c r="B251" s="89" t="str">
        <x:v>v1-mainnet-0246</x:v>
      </x:c>
      <x:c r="C251" s="90" t="str">
        <x:v>0x261c9a2395e184002981bae2112ada7f85e23760</x:v>
      </x:c>
      <x:c r="D251" s="98" t="str"/>
      <x:c r="E251" s="98" t="str">
        <x:v>EOA_CANDIDATE</x:v>
      </x:c>
      <x:c r="F251" s="91" t="b">
        <x:v>0</x:v>
      </x:c>
      <x:c r="G251" s="89" t="n">
        <x:v>0</x:v>
      </x:c>
      <x:c r="H251" s="90" t="str">
        <x:v>7180000000000</x:v>
      </x:c>
      <x:c r="I251" s="92" t="n">
        <x:v>7.18</x:v>
      </x:c>
      <x:c r="J251" s="92" t="str">
        <x:v>7180000000000000000</x:v>
      </x:c>
      <x:c r="K251" s="92" t="n">
        <x:v>7.18</x:v>
      </x:c>
      <x:c r="L251" s="98" t="str">
        <x:v>PENDING_OWNER_ELIGIBILITY_APPROVAL</x:v>
      </x:c>
      <x:c r="M251" s="98" t="b">
        <x:f>IF(E251="EOA_CANDIDATE",I251&gt;='Decision Summary'!$B$11,FALSE)</x:f>
        <x:v>0</x:v>
      </x:c>
      <x:c r="N251" s="98" t="str">
        <x:f>IF(M251,"DRAFT INCLUDE","HOLD / EXCLUDE")</x:f>
        <x:v>HOLD / EXCLUDE</x:v>
      </x:c>
      <x:c r="O251" s="101" t="str">
        <x:f>IF(M251,C251,"")</x:f>
      </x:c>
      <x:c r="P251" s="98" t="str">
        <x:f>IF(N251="DRAFT INCLUDE",ROUNDUP(COUNTIF($N$6:N251,"DRAFT INCLUDE")/'Decision Summary'!$B$12,0),"")</x:f>
      </x:c>
      <x:c r="Q251" s="98" t="str">
        <x:f>IF(N251="DRAFT INCLUDE",MOD(COUNTIF($N$6:N251,"DRAFT INCLUDE")-1,'Decision Summary'!$B$12)+1,"")</x:f>
      </x:c>
      <x:c r="R251" s="98" t="str">
        <x:v>PENDING</x:v>
      </x:c>
      <x:c r="S251" s="98" t="str"/>
      <x:c r="T251" s="98" t="str">
        <x:v>Ordinary EOA candidate; inclusion still depends on V1 deprecation, threshold policy and owner approval.</x:v>
      </x:c>
      <x:c r="U251" s="89" t="str">
        <x:v>https://etherscan.io/token/0x445d03f499f1c150615957bb87588fb465fc91cc#balances</x:v>
      </x:c>
      <x:c r="V251" s="89" t="b">
        <x:f>COUNTIF($C$6:$C$502,C251)&gt;1</x:f>
        <x:v>0</x:v>
      </x:c>
    </x:row>
    <x:row r="252">
      <x:c r="A252" s="89" t="n">
        <x:v>247</x:v>
      </x:c>
      <x:c r="B252" s="89" t="str">
        <x:v>v1-mainnet-0247</x:v>
      </x:c>
      <x:c r="C252" s="90" t="str">
        <x:v>0x8856d36e2b429bd538920815648ddee5656775d6</x:v>
      </x:c>
      <x:c r="D252" s="98" t="str"/>
      <x:c r="E252" s="98" t="str">
        <x:v>EOA_CANDIDATE</x:v>
      </x:c>
      <x:c r="F252" s="91" t="b">
        <x:v>0</x:v>
      </x:c>
      <x:c r="G252" s="89" t="n">
        <x:v>0</x:v>
      </x:c>
      <x:c r="H252" s="90" t="str">
        <x:v>7177000000000</x:v>
      </x:c>
      <x:c r="I252" s="92" t="n">
        <x:v>7.177</x:v>
      </x:c>
      <x:c r="J252" s="92" t="str">
        <x:v>7177000000000000000</x:v>
      </x:c>
      <x:c r="K252" s="92" t="n">
        <x:v>7.177</x:v>
      </x:c>
      <x:c r="L252" s="98" t="str">
        <x:v>PENDING_OWNER_ELIGIBILITY_APPROVAL</x:v>
      </x:c>
      <x:c r="M252" s="98" t="b">
        <x:f>IF(E252="EOA_CANDIDATE",I252&gt;='Decision Summary'!$B$11,FALSE)</x:f>
        <x:v>0</x:v>
      </x:c>
      <x:c r="N252" s="98" t="str">
        <x:f>IF(M252,"DRAFT INCLUDE","HOLD / EXCLUDE")</x:f>
        <x:v>HOLD / EXCLUDE</x:v>
      </x:c>
      <x:c r="O252" s="101" t="str">
        <x:f>IF(M252,C252,"")</x:f>
      </x:c>
      <x:c r="P252" s="98" t="str">
        <x:f>IF(N252="DRAFT INCLUDE",ROUNDUP(COUNTIF($N$6:N252,"DRAFT INCLUDE")/'Decision Summary'!$B$12,0),"")</x:f>
      </x:c>
      <x:c r="Q252" s="98" t="str">
        <x:f>IF(N252="DRAFT INCLUDE",MOD(COUNTIF($N$6:N252,"DRAFT INCLUDE")-1,'Decision Summary'!$B$12)+1,"")</x:f>
      </x:c>
      <x:c r="R252" s="98" t="str">
        <x:v>PENDING</x:v>
      </x:c>
      <x:c r="S252" s="98" t="str"/>
      <x:c r="T252" s="98" t="str">
        <x:v>Ordinary EOA candidate; inclusion still depends on V1 deprecation, threshold policy and owner approval.</x:v>
      </x:c>
      <x:c r="U252" s="89" t="str">
        <x:v>https://etherscan.io/token/0x445d03f499f1c150615957bb87588fb465fc91cc#balances</x:v>
      </x:c>
      <x:c r="V252" s="89" t="b">
        <x:f>COUNTIF($C$6:$C$502,C252)&gt;1</x:f>
        <x:v>0</x:v>
      </x:c>
    </x:row>
    <x:row r="253">
      <x:c r="A253" s="89" t="n">
        <x:v>248</x:v>
      </x:c>
      <x:c r="B253" s="89" t="str">
        <x:v>v1-mainnet-0248</x:v>
      </x:c>
      <x:c r="C253" s="90" t="str">
        <x:v>0x88033cde98615c65e5e0928d66d09fab34c5a1b1</x:v>
      </x:c>
      <x:c r="D253" s="98" t="str"/>
      <x:c r="E253" s="98" t="str">
        <x:v>EOA_CANDIDATE</x:v>
      </x:c>
      <x:c r="F253" s="91" t="b">
        <x:v>0</x:v>
      </x:c>
      <x:c r="G253" s="89" t="n">
        <x:v>0</x:v>
      </x:c>
      <x:c r="H253" s="90" t="str">
        <x:v>7174700000000</x:v>
      </x:c>
      <x:c r="I253" s="92" t="n">
        <x:v>7.1747</x:v>
      </x:c>
      <x:c r="J253" s="92" t="str">
        <x:v>7174700000000000000</x:v>
      </x:c>
      <x:c r="K253" s="92" t="n">
        <x:v>7.1747</x:v>
      </x:c>
      <x:c r="L253" s="98" t="str">
        <x:v>PENDING_OWNER_ELIGIBILITY_APPROVAL</x:v>
      </x:c>
      <x:c r="M253" s="98" t="b">
        <x:f>IF(E253="EOA_CANDIDATE",I253&gt;='Decision Summary'!$B$11,FALSE)</x:f>
        <x:v>0</x:v>
      </x:c>
      <x:c r="N253" s="98" t="str">
        <x:f>IF(M253,"DRAFT INCLUDE","HOLD / EXCLUDE")</x:f>
        <x:v>HOLD / EXCLUDE</x:v>
      </x:c>
      <x:c r="O253" s="101" t="str">
        <x:f>IF(M253,C253,"")</x:f>
      </x:c>
      <x:c r="P253" s="98" t="str">
        <x:f>IF(N253="DRAFT INCLUDE",ROUNDUP(COUNTIF($N$6:N253,"DRAFT INCLUDE")/'Decision Summary'!$B$12,0),"")</x:f>
      </x:c>
      <x:c r="Q253" s="98" t="str">
        <x:f>IF(N253="DRAFT INCLUDE",MOD(COUNTIF($N$6:N253,"DRAFT INCLUDE")-1,'Decision Summary'!$B$12)+1,"")</x:f>
      </x:c>
      <x:c r="R253" s="98" t="str">
        <x:v>PENDING</x:v>
      </x:c>
      <x:c r="S253" s="98" t="str"/>
      <x:c r="T253" s="98" t="str">
        <x:v>Ordinary EOA candidate; inclusion still depends on V1 deprecation, threshold policy and owner approval.</x:v>
      </x:c>
      <x:c r="U253" s="89" t="str">
        <x:v>https://etherscan.io/token/0x445d03f499f1c150615957bb87588fb465fc91cc#balances</x:v>
      </x:c>
      <x:c r="V253" s="89" t="b">
        <x:f>COUNTIF($C$6:$C$502,C253)&gt;1</x:f>
        <x:v>0</x:v>
      </x:c>
    </x:row>
    <x:row r="254">
      <x:c r="A254" s="89" t="n">
        <x:v>249</x:v>
      </x:c>
      <x:c r="B254" s="89" t="str">
        <x:v>v1-mainnet-0249</x:v>
      </x:c>
      <x:c r="C254" s="90" t="str">
        <x:v>0xd5d516ff32ca2d9f0e10061e31a73db8b5c9da1d</x:v>
      </x:c>
      <x:c r="D254" s="98" t="str"/>
      <x:c r="E254" s="98" t="str">
        <x:v>EOA_CANDIDATE</x:v>
      </x:c>
      <x:c r="F254" s="91" t="b">
        <x:v>0</x:v>
      </x:c>
      <x:c r="G254" s="89" t="n">
        <x:v>0</x:v>
      </x:c>
      <x:c r="H254" s="90" t="str">
        <x:v>7135800000000</x:v>
      </x:c>
      <x:c r="I254" s="92" t="n">
        <x:v>7.1358</x:v>
      </x:c>
      <x:c r="J254" s="92" t="str">
        <x:v>7135800000000000000</x:v>
      </x:c>
      <x:c r="K254" s="92" t="n">
        <x:v>7.1358</x:v>
      </x:c>
      <x:c r="L254" s="98" t="str">
        <x:v>PENDING_OWNER_ELIGIBILITY_APPROVAL</x:v>
      </x:c>
      <x:c r="M254" s="98" t="b">
        <x:f>IF(E254="EOA_CANDIDATE",I254&gt;='Decision Summary'!$B$11,FALSE)</x:f>
        <x:v>0</x:v>
      </x:c>
      <x:c r="N254" s="98" t="str">
        <x:f>IF(M254,"DRAFT INCLUDE","HOLD / EXCLUDE")</x:f>
        <x:v>HOLD / EXCLUDE</x:v>
      </x:c>
      <x:c r="O254" s="101" t="str">
        <x:f>IF(M254,C254,"")</x:f>
      </x:c>
      <x:c r="P254" s="98" t="str">
        <x:f>IF(N254="DRAFT INCLUDE",ROUNDUP(COUNTIF($N$6:N254,"DRAFT INCLUDE")/'Decision Summary'!$B$12,0),"")</x:f>
      </x:c>
      <x:c r="Q254" s="98" t="str">
        <x:f>IF(N254="DRAFT INCLUDE",MOD(COUNTIF($N$6:N254,"DRAFT INCLUDE")-1,'Decision Summary'!$B$12)+1,"")</x:f>
      </x:c>
      <x:c r="R254" s="98" t="str">
        <x:v>PENDING</x:v>
      </x:c>
      <x:c r="S254" s="98" t="str"/>
      <x:c r="T254" s="98" t="str">
        <x:v>Ordinary EOA candidate; inclusion still depends on V1 deprecation, threshold policy and owner approval.</x:v>
      </x:c>
      <x:c r="U254" s="89" t="str">
        <x:v>https://etherscan.io/token/0x445d03f499f1c150615957bb87588fb465fc91cc#balances</x:v>
      </x:c>
      <x:c r="V254" s="89" t="b">
        <x:f>COUNTIF($C$6:$C$502,C254)&gt;1</x:f>
        <x:v>0</x:v>
      </x:c>
    </x:row>
    <x:row r="255">
      <x:c r="A255" s="89" t="n">
        <x:v>250</x:v>
      </x:c>
      <x:c r="B255" s="89" t="str">
        <x:v>v1-mainnet-0250</x:v>
      </x:c>
      <x:c r="C255" s="90" t="str">
        <x:v>0xf3a0536476848271c5a257a11e96f3e9b02cc655</x:v>
      </x:c>
      <x:c r="D255" s="98" t="str"/>
      <x:c r="E255" s="98" t="str">
        <x:v>EOA_CANDIDATE</x:v>
      </x:c>
      <x:c r="F255" s="91" t="b">
        <x:v>0</x:v>
      </x:c>
      <x:c r="G255" s="89" t="n">
        <x:v>0</x:v>
      </x:c>
      <x:c r="H255" s="90" t="str">
        <x:v>7125600000000</x:v>
      </x:c>
      <x:c r="I255" s="92" t="n">
        <x:v>7.1256</x:v>
      </x:c>
      <x:c r="J255" s="92" t="str">
        <x:v>7125600000000000000</x:v>
      </x:c>
      <x:c r="K255" s="92" t="n">
        <x:v>7.1256</x:v>
      </x:c>
      <x:c r="L255" s="98" t="str">
        <x:v>PENDING_OWNER_ELIGIBILITY_APPROVAL</x:v>
      </x:c>
      <x:c r="M255" s="98" t="b">
        <x:f>IF(E255="EOA_CANDIDATE",I255&gt;='Decision Summary'!$B$11,FALSE)</x:f>
        <x:v>0</x:v>
      </x:c>
      <x:c r="N255" s="98" t="str">
        <x:f>IF(M255,"DRAFT INCLUDE","HOLD / EXCLUDE")</x:f>
        <x:v>HOLD / EXCLUDE</x:v>
      </x:c>
      <x:c r="O255" s="101" t="str">
        <x:f>IF(M255,C255,"")</x:f>
      </x:c>
      <x:c r="P255" s="98" t="str">
        <x:f>IF(N255="DRAFT INCLUDE",ROUNDUP(COUNTIF($N$6:N255,"DRAFT INCLUDE")/'Decision Summary'!$B$12,0),"")</x:f>
      </x:c>
      <x:c r="Q255" s="98" t="str">
        <x:f>IF(N255="DRAFT INCLUDE",MOD(COUNTIF($N$6:N255,"DRAFT INCLUDE")-1,'Decision Summary'!$B$12)+1,"")</x:f>
      </x:c>
      <x:c r="R255" s="98" t="str">
        <x:v>PENDING</x:v>
      </x:c>
      <x:c r="S255" s="98" t="str"/>
      <x:c r="T255" s="98" t="str">
        <x:v>Ordinary EOA candidate; inclusion still depends on V1 deprecation, threshold policy and owner approval.</x:v>
      </x:c>
      <x:c r="U255" s="89" t="str">
        <x:v>https://etherscan.io/token/0x445d03f499f1c150615957bb87588fb465fc91cc#balances</x:v>
      </x:c>
      <x:c r="V255" s="89" t="b">
        <x:f>COUNTIF($C$6:$C$502,C255)&gt;1</x:f>
        <x:v>0</x:v>
      </x:c>
    </x:row>
    <x:row r="256">
      <x:c r="A256" s="89" t="n">
        <x:v>251</x:v>
      </x:c>
      <x:c r="B256" s="89" t="str">
        <x:v>v1-mainnet-0251</x:v>
      </x:c>
      <x:c r="C256" s="90" t="str">
        <x:v>0x77fd12be8f953a9b4c781a61b3e5467d68eb2da6</x:v>
      </x:c>
      <x:c r="D256" s="98" t="str"/>
      <x:c r="E256" s="98" t="str">
        <x:v>EOA_CANDIDATE</x:v>
      </x:c>
      <x:c r="F256" s="91" t="b">
        <x:v>0</x:v>
      </x:c>
      <x:c r="G256" s="89" t="n">
        <x:v>0</x:v>
      </x:c>
      <x:c r="H256" s="90" t="str">
        <x:v>7125300000000</x:v>
      </x:c>
      <x:c r="I256" s="92" t="n">
        <x:v>7.1253</x:v>
      </x:c>
      <x:c r="J256" s="92" t="str">
        <x:v>7125300000000000000</x:v>
      </x:c>
      <x:c r="K256" s="92" t="n">
        <x:v>7.1253</x:v>
      </x:c>
      <x:c r="L256" s="98" t="str">
        <x:v>PENDING_OWNER_ELIGIBILITY_APPROVAL</x:v>
      </x:c>
      <x:c r="M256" s="98" t="b">
        <x:f>IF(E256="EOA_CANDIDATE",I256&gt;='Decision Summary'!$B$11,FALSE)</x:f>
        <x:v>0</x:v>
      </x:c>
      <x:c r="N256" s="98" t="str">
        <x:f>IF(M256,"DRAFT INCLUDE","HOLD / EXCLUDE")</x:f>
        <x:v>HOLD / EXCLUDE</x:v>
      </x:c>
      <x:c r="O256" s="101" t="str">
        <x:f>IF(M256,C256,"")</x:f>
      </x:c>
      <x:c r="P256" s="98" t="str">
        <x:f>IF(N256="DRAFT INCLUDE",ROUNDUP(COUNTIF($N$6:N256,"DRAFT INCLUDE")/'Decision Summary'!$B$12,0),"")</x:f>
      </x:c>
      <x:c r="Q256" s="98" t="str">
        <x:f>IF(N256="DRAFT INCLUDE",MOD(COUNTIF($N$6:N256,"DRAFT INCLUDE")-1,'Decision Summary'!$B$12)+1,"")</x:f>
      </x:c>
      <x:c r="R256" s="98" t="str">
        <x:v>PENDING</x:v>
      </x:c>
      <x:c r="S256" s="98" t="str"/>
      <x:c r="T256" s="98" t="str">
        <x:v>Ordinary EOA candidate; inclusion still depends on V1 deprecation, threshold policy and owner approval.</x:v>
      </x:c>
      <x:c r="U256" s="89" t="str">
        <x:v>https://etherscan.io/token/0x445d03f499f1c150615957bb87588fb465fc91cc#balances</x:v>
      </x:c>
      <x:c r="V256" s="89" t="b">
        <x:f>COUNTIF($C$6:$C$502,C256)&gt;1</x:f>
        <x:v>0</x:v>
      </x:c>
    </x:row>
    <x:row r="257">
      <x:c r="A257" s="89" t="n">
        <x:v>252</x:v>
      </x:c>
      <x:c r="B257" s="89" t="str">
        <x:v>v1-mainnet-0252</x:v>
      </x:c>
      <x:c r="C257" s="90" t="str">
        <x:v>0x6a5c7c70ad01379a4d695f7246e213b89bbe0f9f</x:v>
      </x:c>
      <x:c r="D257" s="98" t="str"/>
      <x:c r="E257" s="98" t="str">
        <x:v>EOA_CANDIDATE</x:v>
      </x:c>
      <x:c r="F257" s="91" t="b">
        <x:v>0</x:v>
      </x:c>
      <x:c r="G257" s="89" t="n">
        <x:v>0</x:v>
      </x:c>
      <x:c r="H257" s="90" t="str">
        <x:v>7122100000000</x:v>
      </x:c>
      <x:c r="I257" s="92" t="n">
        <x:v>7.1221</x:v>
      </x:c>
      <x:c r="J257" s="92" t="str">
        <x:v>7122100000000000000</x:v>
      </x:c>
      <x:c r="K257" s="92" t="n">
        <x:v>7.1221</x:v>
      </x:c>
      <x:c r="L257" s="98" t="str">
        <x:v>PENDING_OWNER_ELIGIBILITY_APPROVAL</x:v>
      </x:c>
      <x:c r="M257" s="98" t="b">
        <x:f>IF(E257="EOA_CANDIDATE",I257&gt;='Decision Summary'!$B$11,FALSE)</x:f>
        <x:v>0</x:v>
      </x:c>
      <x:c r="N257" s="98" t="str">
        <x:f>IF(M257,"DRAFT INCLUDE","HOLD / EXCLUDE")</x:f>
        <x:v>HOLD / EXCLUDE</x:v>
      </x:c>
      <x:c r="O257" s="101" t="str">
        <x:f>IF(M257,C257,"")</x:f>
      </x:c>
      <x:c r="P257" s="98" t="str">
        <x:f>IF(N257="DRAFT INCLUDE",ROUNDUP(COUNTIF($N$6:N257,"DRAFT INCLUDE")/'Decision Summary'!$B$12,0),"")</x:f>
      </x:c>
      <x:c r="Q257" s="98" t="str">
        <x:f>IF(N257="DRAFT INCLUDE",MOD(COUNTIF($N$6:N257,"DRAFT INCLUDE")-1,'Decision Summary'!$B$12)+1,"")</x:f>
      </x:c>
      <x:c r="R257" s="98" t="str">
        <x:v>PENDING</x:v>
      </x:c>
      <x:c r="S257" s="98" t="str"/>
      <x:c r="T257" s="98" t="str">
        <x:v>Ordinary EOA candidate; inclusion still depends on V1 deprecation, threshold policy and owner approval.</x:v>
      </x:c>
      <x:c r="U257" s="89" t="str">
        <x:v>https://etherscan.io/token/0x445d03f499f1c150615957bb87588fb465fc91cc#balances</x:v>
      </x:c>
      <x:c r="V257" s="89" t="b">
        <x:f>COUNTIF($C$6:$C$502,C257)&gt;1</x:f>
        <x:v>0</x:v>
      </x:c>
    </x:row>
    <x:row r="258">
      <x:c r="A258" s="89" t="n">
        <x:v>253</x:v>
      </x:c>
      <x:c r="B258" s="89" t="str">
        <x:v>v1-mainnet-0253</x:v>
      </x:c>
      <x:c r="C258" s="90" t="str">
        <x:v>0x23d6f04e4cd7837bdc0a4a8cd29aca77128ba9d1</x:v>
      </x:c>
      <x:c r="D258" s="98" t="str"/>
      <x:c r="E258" s="98" t="str">
        <x:v>EOA_CANDIDATE</x:v>
      </x:c>
      <x:c r="F258" s="91" t="b">
        <x:v>0</x:v>
      </x:c>
      <x:c r="G258" s="89" t="n">
        <x:v>0</x:v>
      </x:c>
      <x:c r="H258" s="90" t="str">
        <x:v>7112400000000</x:v>
      </x:c>
      <x:c r="I258" s="92" t="n">
        <x:v>7.1124</x:v>
      </x:c>
      <x:c r="J258" s="92" t="str">
        <x:v>7112400000000000000</x:v>
      </x:c>
      <x:c r="K258" s="92" t="n">
        <x:v>7.1124</x:v>
      </x:c>
      <x:c r="L258" s="98" t="str">
        <x:v>PENDING_OWNER_ELIGIBILITY_APPROVAL</x:v>
      </x:c>
      <x:c r="M258" s="98" t="b">
        <x:f>IF(E258="EOA_CANDIDATE",I258&gt;='Decision Summary'!$B$11,FALSE)</x:f>
        <x:v>0</x:v>
      </x:c>
      <x:c r="N258" s="98" t="str">
        <x:f>IF(M258,"DRAFT INCLUDE","HOLD / EXCLUDE")</x:f>
        <x:v>HOLD / EXCLUDE</x:v>
      </x:c>
      <x:c r="O258" s="101" t="str">
        <x:f>IF(M258,C258,"")</x:f>
      </x:c>
      <x:c r="P258" s="98" t="str">
        <x:f>IF(N258="DRAFT INCLUDE",ROUNDUP(COUNTIF($N$6:N258,"DRAFT INCLUDE")/'Decision Summary'!$B$12,0),"")</x:f>
      </x:c>
      <x:c r="Q258" s="98" t="str">
        <x:f>IF(N258="DRAFT INCLUDE",MOD(COUNTIF($N$6:N258,"DRAFT INCLUDE")-1,'Decision Summary'!$B$12)+1,"")</x:f>
      </x:c>
      <x:c r="R258" s="98" t="str">
        <x:v>PENDING</x:v>
      </x:c>
      <x:c r="S258" s="98" t="str"/>
      <x:c r="T258" s="98" t="str">
        <x:v>Ordinary EOA candidate; inclusion still depends on V1 deprecation, threshold policy and owner approval.</x:v>
      </x:c>
      <x:c r="U258" s="89" t="str">
        <x:v>https://etherscan.io/token/0x445d03f499f1c150615957bb87588fb465fc91cc#balances</x:v>
      </x:c>
      <x:c r="V258" s="89" t="b">
        <x:f>COUNTIF($C$6:$C$502,C258)&gt;1</x:f>
        <x:v>0</x:v>
      </x:c>
    </x:row>
    <x:row r="259">
      <x:c r="A259" s="89" t="n">
        <x:v>254</x:v>
      </x:c>
      <x:c r="B259" s="89" t="str">
        <x:v>v1-mainnet-0254</x:v>
      </x:c>
      <x:c r="C259" s="90" t="str">
        <x:v>0x1f56e8b3a6bc1977a7ba0bcb1dd248c0a27bbf85</x:v>
      </x:c>
      <x:c r="D259" s="98" t="str"/>
      <x:c r="E259" s="98" t="str">
        <x:v>EOA_CANDIDATE</x:v>
      </x:c>
      <x:c r="F259" s="91" t="b">
        <x:v>0</x:v>
      </x:c>
      <x:c r="G259" s="89" t="n">
        <x:v>0</x:v>
      </x:c>
      <x:c r="H259" s="90" t="str">
        <x:v>7029500000000</x:v>
      </x:c>
      <x:c r="I259" s="92" t="n">
        <x:v>7.0295</x:v>
      </x:c>
      <x:c r="J259" s="92" t="str">
        <x:v>7029500000000000000</x:v>
      </x:c>
      <x:c r="K259" s="92" t="n">
        <x:v>7.0295</x:v>
      </x:c>
      <x:c r="L259" s="98" t="str">
        <x:v>PENDING_OWNER_ELIGIBILITY_APPROVAL</x:v>
      </x:c>
      <x:c r="M259" s="98" t="b">
        <x:f>IF(E259="EOA_CANDIDATE",I259&gt;='Decision Summary'!$B$11,FALSE)</x:f>
        <x:v>0</x:v>
      </x:c>
      <x:c r="N259" s="98" t="str">
        <x:f>IF(M259,"DRAFT INCLUDE","HOLD / EXCLUDE")</x:f>
        <x:v>HOLD / EXCLUDE</x:v>
      </x:c>
      <x:c r="O259" s="101" t="str">
        <x:f>IF(M259,C259,"")</x:f>
      </x:c>
      <x:c r="P259" s="98" t="str">
        <x:f>IF(N259="DRAFT INCLUDE",ROUNDUP(COUNTIF($N$6:N259,"DRAFT INCLUDE")/'Decision Summary'!$B$12,0),"")</x:f>
      </x:c>
      <x:c r="Q259" s="98" t="str">
        <x:f>IF(N259="DRAFT INCLUDE",MOD(COUNTIF($N$6:N259,"DRAFT INCLUDE")-1,'Decision Summary'!$B$12)+1,"")</x:f>
      </x:c>
      <x:c r="R259" s="98" t="str">
        <x:v>PENDING</x:v>
      </x:c>
      <x:c r="S259" s="98" t="str"/>
      <x:c r="T259" s="98" t="str">
        <x:v>Ordinary EOA candidate; inclusion still depends on V1 deprecation, threshold policy and owner approval.</x:v>
      </x:c>
      <x:c r="U259" s="89" t="str">
        <x:v>https://etherscan.io/token/0x445d03f499f1c150615957bb87588fb465fc91cc#balances</x:v>
      </x:c>
      <x:c r="V259" s="89" t="b">
        <x:f>COUNTIF($C$6:$C$502,C259)&gt;1</x:f>
        <x:v>0</x:v>
      </x:c>
    </x:row>
    <x:row r="260">
      <x:c r="A260" s="89" t="n">
        <x:v>255</x:v>
      </x:c>
      <x:c r="B260" s="89" t="str">
        <x:v>v1-mainnet-0255</x:v>
      </x:c>
      <x:c r="C260" s="90" t="str">
        <x:v>0x246c1cdb2ecec1ba07483779e09acc0e29510bbb</x:v>
      </x:c>
      <x:c r="D260" s="98" t="str"/>
      <x:c r="E260" s="98" t="str">
        <x:v>EOA_CANDIDATE</x:v>
      </x:c>
      <x:c r="F260" s="91" t="b">
        <x:v>0</x:v>
      </x:c>
      <x:c r="G260" s="89" t="n">
        <x:v>0</x:v>
      </x:c>
      <x:c r="H260" s="90" t="str">
        <x:v>6983200000000</x:v>
      </x:c>
      <x:c r="I260" s="92" t="n">
        <x:v>6.9832</x:v>
      </x:c>
      <x:c r="J260" s="92" t="str">
        <x:v>6983200000000000000</x:v>
      </x:c>
      <x:c r="K260" s="92" t="n">
        <x:v>6.9832</x:v>
      </x:c>
      <x:c r="L260" s="98" t="str">
        <x:v>PENDING_OWNER_ELIGIBILITY_APPROVAL</x:v>
      </x:c>
      <x:c r="M260" s="98" t="b">
        <x:f>IF(E260="EOA_CANDIDATE",I260&gt;='Decision Summary'!$B$11,FALSE)</x:f>
        <x:v>0</x:v>
      </x:c>
      <x:c r="N260" s="98" t="str">
        <x:f>IF(M260,"DRAFT INCLUDE","HOLD / EXCLUDE")</x:f>
        <x:v>HOLD / EXCLUDE</x:v>
      </x:c>
      <x:c r="O260" s="101" t="str">
        <x:f>IF(M260,C260,"")</x:f>
      </x:c>
      <x:c r="P260" s="98" t="str">
        <x:f>IF(N260="DRAFT INCLUDE",ROUNDUP(COUNTIF($N$6:N260,"DRAFT INCLUDE")/'Decision Summary'!$B$12,0),"")</x:f>
      </x:c>
      <x:c r="Q260" s="98" t="str">
        <x:f>IF(N260="DRAFT INCLUDE",MOD(COUNTIF($N$6:N260,"DRAFT INCLUDE")-1,'Decision Summary'!$B$12)+1,"")</x:f>
      </x:c>
      <x:c r="R260" s="98" t="str">
        <x:v>PENDING</x:v>
      </x:c>
      <x:c r="S260" s="98" t="str"/>
      <x:c r="T260" s="98" t="str">
        <x:v>Ordinary EOA candidate; inclusion still depends on V1 deprecation, threshold policy and owner approval.</x:v>
      </x:c>
      <x:c r="U260" s="89" t="str">
        <x:v>https://etherscan.io/token/0x445d03f499f1c150615957bb87588fb465fc91cc#balances</x:v>
      </x:c>
      <x:c r="V260" s="89" t="b">
        <x:f>COUNTIF($C$6:$C$502,C260)&gt;1</x:f>
        <x:v>0</x:v>
      </x:c>
    </x:row>
    <x:row r="261">
      <x:c r="A261" s="89" t="n">
        <x:v>256</x:v>
      </x:c>
      <x:c r="B261" s="89" t="str">
        <x:v>v1-mainnet-0256</x:v>
      </x:c>
      <x:c r="C261" s="90" t="str">
        <x:v>0x6b71ad78419f68737e48266a75f534a3e49246cf</x:v>
      </x:c>
      <x:c r="D261" s="98" t="str"/>
      <x:c r="E261" s="98" t="str">
        <x:v>EOA_CANDIDATE</x:v>
      </x:c>
      <x:c r="F261" s="91" t="b">
        <x:v>0</x:v>
      </x:c>
      <x:c r="G261" s="89" t="n">
        <x:v>0</x:v>
      </x:c>
      <x:c r="H261" s="90" t="str">
        <x:v>6954200000000</x:v>
      </x:c>
      <x:c r="I261" s="92" t="n">
        <x:v>6.9542</x:v>
      </x:c>
      <x:c r="J261" s="92" t="str">
        <x:v>6954200000000000000</x:v>
      </x:c>
      <x:c r="K261" s="92" t="n">
        <x:v>6.9542</x:v>
      </x:c>
      <x:c r="L261" s="98" t="str">
        <x:v>PENDING_OWNER_ELIGIBILITY_APPROVAL</x:v>
      </x:c>
      <x:c r="M261" s="98" t="b">
        <x:f>IF(E261="EOA_CANDIDATE",I261&gt;='Decision Summary'!$B$11,FALSE)</x:f>
        <x:v>0</x:v>
      </x:c>
      <x:c r="N261" s="98" t="str">
        <x:f>IF(M261,"DRAFT INCLUDE","HOLD / EXCLUDE")</x:f>
        <x:v>HOLD / EXCLUDE</x:v>
      </x:c>
      <x:c r="O261" s="101" t="str">
        <x:f>IF(M261,C261,"")</x:f>
      </x:c>
      <x:c r="P261" s="98" t="str">
        <x:f>IF(N261="DRAFT INCLUDE",ROUNDUP(COUNTIF($N$6:N261,"DRAFT INCLUDE")/'Decision Summary'!$B$12,0),"")</x:f>
      </x:c>
      <x:c r="Q261" s="98" t="str">
        <x:f>IF(N261="DRAFT INCLUDE",MOD(COUNTIF($N$6:N261,"DRAFT INCLUDE")-1,'Decision Summary'!$B$12)+1,"")</x:f>
      </x:c>
      <x:c r="R261" s="98" t="str">
        <x:v>PENDING</x:v>
      </x:c>
      <x:c r="S261" s="98" t="str"/>
      <x:c r="T261" s="98" t="str">
        <x:v>Ordinary EOA candidate; inclusion still depends on V1 deprecation, threshold policy and owner approval.</x:v>
      </x:c>
      <x:c r="U261" s="89" t="str">
        <x:v>https://etherscan.io/token/0x445d03f499f1c150615957bb87588fb465fc91cc#balances</x:v>
      </x:c>
      <x:c r="V261" s="89" t="b">
        <x:f>COUNTIF($C$6:$C$502,C261)&gt;1</x:f>
        <x:v>0</x:v>
      </x:c>
    </x:row>
    <x:row r="262">
      <x:c r="A262" s="89" t="n">
        <x:v>257</x:v>
      </x:c>
      <x:c r="B262" s="89" t="str">
        <x:v>v1-mainnet-0257</x:v>
      </x:c>
      <x:c r="C262" s="90" t="str">
        <x:v>0xda82a056494311eae466898143a5a9feff1d92ff</x:v>
      </x:c>
      <x:c r="D262" s="98" t="str"/>
      <x:c r="E262" s="98" t="str">
        <x:v>EOA_CANDIDATE</x:v>
      </x:c>
      <x:c r="F262" s="91" t="b">
        <x:v>0</x:v>
      </x:c>
      <x:c r="G262" s="89" t="n">
        <x:v>0</x:v>
      </x:c>
      <x:c r="H262" s="90" t="str">
        <x:v>6927400000000</x:v>
      </x:c>
      <x:c r="I262" s="92" t="n">
        <x:v>6.9274</x:v>
      </x:c>
      <x:c r="J262" s="92" t="str">
        <x:v>6927400000000000000</x:v>
      </x:c>
      <x:c r="K262" s="92" t="n">
        <x:v>6.9274</x:v>
      </x:c>
      <x:c r="L262" s="98" t="str">
        <x:v>PENDING_OWNER_ELIGIBILITY_APPROVAL</x:v>
      </x:c>
      <x:c r="M262" s="98" t="b">
        <x:f>IF(E262="EOA_CANDIDATE",I262&gt;='Decision Summary'!$B$11,FALSE)</x:f>
        <x:v>0</x:v>
      </x:c>
      <x:c r="N262" s="98" t="str">
        <x:f>IF(M262,"DRAFT INCLUDE","HOLD / EXCLUDE")</x:f>
        <x:v>HOLD / EXCLUDE</x:v>
      </x:c>
      <x:c r="O262" s="101" t="str">
        <x:f>IF(M262,C262,"")</x:f>
      </x:c>
      <x:c r="P262" s="98" t="str">
        <x:f>IF(N262="DRAFT INCLUDE",ROUNDUP(COUNTIF($N$6:N262,"DRAFT INCLUDE")/'Decision Summary'!$B$12,0),"")</x:f>
      </x:c>
      <x:c r="Q262" s="98" t="str">
        <x:f>IF(N262="DRAFT INCLUDE",MOD(COUNTIF($N$6:N262,"DRAFT INCLUDE")-1,'Decision Summary'!$B$12)+1,"")</x:f>
      </x:c>
      <x:c r="R262" s="98" t="str">
        <x:v>PENDING</x:v>
      </x:c>
      <x:c r="S262" s="98" t="str"/>
      <x:c r="T262" s="98" t="str">
        <x:v>Ordinary EOA candidate; inclusion still depends on V1 deprecation, threshold policy and owner approval.</x:v>
      </x:c>
      <x:c r="U262" s="89" t="str">
        <x:v>https://etherscan.io/token/0x445d03f499f1c150615957bb87588fb465fc91cc#balances</x:v>
      </x:c>
      <x:c r="V262" s="89" t="b">
        <x:f>COUNTIF($C$6:$C$502,C262)&gt;1</x:f>
        <x:v>0</x:v>
      </x:c>
    </x:row>
    <x:row r="263">
      <x:c r="A263" s="89" t="n">
        <x:v>258</x:v>
      </x:c>
      <x:c r="B263" s="89" t="str">
        <x:v>v1-mainnet-0258</x:v>
      </x:c>
      <x:c r="C263" s="90" t="str">
        <x:v>0x9180062b91202f6d7042a7ba3ef1a96a95f6b9f6</x:v>
      </x:c>
      <x:c r="D263" s="98" t="str"/>
      <x:c r="E263" s="98" t="str">
        <x:v>EOA_CANDIDATE</x:v>
      </x:c>
      <x:c r="F263" s="91" t="b">
        <x:v>0</x:v>
      </x:c>
      <x:c r="G263" s="89" t="n">
        <x:v>0</x:v>
      </x:c>
      <x:c r="H263" s="90" t="str">
        <x:v>6916900000000</x:v>
      </x:c>
      <x:c r="I263" s="92" t="n">
        <x:v>6.9169</x:v>
      </x:c>
      <x:c r="J263" s="92" t="str">
        <x:v>6916900000000000000</x:v>
      </x:c>
      <x:c r="K263" s="92" t="n">
        <x:v>6.9169</x:v>
      </x:c>
      <x:c r="L263" s="98" t="str">
        <x:v>PENDING_OWNER_ELIGIBILITY_APPROVAL</x:v>
      </x:c>
      <x:c r="M263" s="98" t="b">
        <x:f>IF(E263="EOA_CANDIDATE",I263&gt;='Decision Summary'!$B$11,FALSE)</x:f>
        <x:v>0</x:v>
      </x:c>
      <x:c r="N263" s="98" t="str">
        <x:f>IF(M263,"DRAFT INCLUDE","HOLD / EXCLUDE")</x:f>
        <x:v>HOLD / EXCLUDE</x:v>
      </x:c>
      <x:c r="O263" s="101" t="str">
        <x:f>IF(M263,C263,"")</x:f>
      </x:c>
      <x:c r="P263" s="98" t="str">
        <x:f>IF(N263="DRAFT INCLUDE",ROUNDUP(COUNTIF($N$6:N263,"DRAFT INCLUDE")/'Decision Summary'!$B$12,0),"")</x:f>
      </x:c>
      <x:c r="Q263" s="98" t="str">
        <x:f>IF(N263="DRAFT INCLUDE",MOD(COUNTIF($N$6:N263,"DRAFT INCLUDE")-1,'Decision Summary'!$B$12)+1,"")</x:f>
      </x:c>
      <x:c r="R263" s="98" t="str">
        <x:v>PENDING</x:v>
      </x:c>
      <x:c r="S263" s="98" t="str"/>
      <x:c r="T263" s="98" t="str">
        <x:v>Ordinary EOA candidate; inclusion still depends on V1 deprecation, threshold policy and owner approval.</x:v>
      </x:c>
      <x:c r="U263" s="89" t="str">
        <x:v>https://etherscan.io/token/0x445d03f499f1c150615957bb87588fb465fc91cc#balances</x:v>
      </x:c>
      <x:c r="V263" s="89" t="b">
        <x:f>COUNTIF($C$6:$C$502,C263)&gt;1</x:f>
        <x:v>0</x:v>
      </x:c>
    </x:row>
    <x:row r="264">
      <x:c r="A264" s="89" t="n">
        <x:v>259</x:v>
      </x:c>
      <x:c r="B264" s="89" t="str">
        <x:v>v1-mainnet-0259</x:v>
      </x:c>
      <x:c r="C264" s="90" t="str">
        <x:v>0x545d03409e9bf706d9b47f03518378b0ad1e1e47</x:v>
      </x:c>
      <x:c r="D264" s="98" t="str"/>
      <x:c r="E264" s="98" t="str">
        <x:v>EOA_CANDIDATE</x:v>
      </x:c>
      <x:c r="F264" s="91" t="b">
        <x:v>0</x:v>
      </x:c>
      <x:c r="G264" s="89" t="n">
        <x:v>0</x:v>
      </x:c>
      <x:c r="H264" s="90" t="str">
        <x:v>6916400000000</x:v>
      </x:c>
      <x:c r="I264" s="92" t="n">
        <x:v>6.9164</x:v>
      </x:c>
      <x:c r="J264" s="92" t="str">
        <x:v>6916400000000000000</x:v>
      </x:c>
      <x:c r="K264" s="92" t="n">
        <x:v>6.9164</x:v>
      </x:c>
      <x:c r="L264" s="98" t="str">
        <x:v>PENDING_OWNER_ELIGIBILITY_APPROVAL</x:v>
      </x:c>
      <x:c r="M264" s="98" t="b">
        <x:f>IF(E264="EOA_CANDIDATE",I264&gt;='Decision Summary'!$B$11,FALSE)</x:f>
        <x:v>0</x:v>
      </x:c>
      <x:c r="N264" s="98" t="str">
        <x:f>IF(M264,"DRAFT INCLUDE","HOLD / EXCLUDE")</x:f>
        <x:v>HOLD / EXCLUDE</x:v>
      </x:c>
      <x:c r="O264" s="101" t="str">
        <x:f>IF(M264,C264,"")</x:f>
      </x:c>
      <x:c r="P264" s="98" t="str">
        <x:f>IF(N264="DRAFT INCLUDE",ROUNDUP(COUNTIF($N$6:N264,"DRAFT INCLUDE")/'Decision Summary'!$B$12,0),"")</x:f>
      </x:c>
      <x:c r="Q264" s="98" t="str">
        <x:f>IF(N264="DRAFT INCLUDE",MOD(COUNTIF($N$6:N264,"DRAFT INCLUDE")-1,'Decision Summary'!$B$12)+1,"")</x:f>
      </x:c>
      <x:c r="R264" s="98" t="str">
        <x:v>PENDING</x:v>
      </x:c>
      <x:c r="S264" s="98" t="str"/>
      <x:c r="T264" s="98" t="str">
        <x:v>Ordinary EOA candidate; inclusion still depends on V1 deprecation, threshold policy and owner approval.</x:v>
      </x:c>
      <x:c r="U264" s="89" t="str">
        <x:v>https://etherscan.io/token/0x445d03f499f1c150615957bb87588fb465fc91cc#balances</x:v>
      </x:c>
      <x:c r="V264" s="89" t="b">
        <x:f>COUNTIF($C$6:$C$502,C264)&gt;1</x:f>
        <x:v>0</x:v>
      </x:c>
    </x:row>
    <x:row r="265">
      <x:c r="A265" s="89" t="n">
        <x:v>260</x:v>
      </x:c>
      <x:c r="B265" s="89" t="str">
        <x:v>v1-mainnet-0260</x:v>
      </x:c>
      <x:c r="C265" s="90" t="str">
        <x:v>0x7567d84457c1179dbd29e419adfaab3488168f0e</x:v>
      </x:c>
      <x:c r="D265" s="98" t="str"/>
      <x:c r="E265" s="98" t="str">
        <x:v>EOA_CANDIDATE</x:v>
      </x:c>
      <x:c r="F265" s="91" t="b">
        <x:v>0</x:v>
      </x:c>
      <x:c r="G265" s="89" t="n">
        <x:v>0</x:v>
      </x:c>
      <x:c r="H265" s="90" t="str">
        <x:v>6894000000000</x:v>
      </x:c>
      <x:c r="I265" s="92" t="n">
        <x:v>6.894</x:v>
      </x:c>
      <x:c r="J265" s="92" t="str">
        <x:v>6894000000000000000</x:v>
      </x:c>
      <x:c r="K265" s="92" t="n">
        <x:v>6.894</x:v>
      </x:c>
      <x:c r="L265" s="98" t="str">
        <x:v>PENDING_OWNER_ELIGIBILITY_APPROVAL</x:v>
      </x:c>
      <x:c r="M265" s="98" t="b">
        <x:f>IF(E265="EOA_CANDIDATE",I265&gt;='Decision Summary'!$B$11,FALSE)</x:f>
        <x:v>0</x:v>
      </x:c>
      <x:c r="N265" s="98" t="str">
        <x:f>IF(M265,"DRAFT INCLUDE","HOLD / EXCLUDE")</x:f>
        <x:v>HOLD / EXCLUDE</x:v>
      </x:c>
      <x:c r="O265" s="101" t="str">
        <x:f>IF(M265,C265,"")</x:f>
      </x:c>
      <x:c r="P265" s="98" t="str">
        <x:f>IF(N265="DRAFT INCLUDE",ROUNDUP(COUNTIF($N$6:N265,"DRAFT INCLUDE")/'Decision Summary'!$B$12,0),"")</x:f>
      </x:c>
      <x:c r="Q265" s="98" t="str">
        <x:f>IF(N265="DRAFT INCLUDE",MOD(COUNTIF($N$6:N265,"DRAFT INCLUDE")-1,'Decision Summary'!$B$12)+1,"")</x:f>
      </x:c>
      <x:c r="R265" s="98" t="str">
        <x:v>PENDING</x:v>
      </x:c>
      <x:c r="S265" s="98" t="str"/>
      <x:c r="T265" s="98" t="str">
        <x:v>Ordinary EOA candidate; inclusion still depends on V1 deprecation, threshold policy and owner approval.</x:v>
      </x:c>
      <x:c r="U265" s="89" t="str">
        <x:v>https://etherscan.io/token/0x445d03f499f1c150615957bb87588fb465fc91cc#balances</x:v>
      </x:c>
      <x:c r="V265" s="89" t="b">
        <x:f>COUNTIF($C$6:$C$502,C265)&gt;1</x:f>
        <x:v>0</x:v>
      </x:c>
    </x:row>
    <x:row r="266">
      <x:c r="A266" s="89" t="n">
        <x:v>261</x:v>
      </x:c>
      <x:c r="B266" s="89" t="str">
        <x:v>v1-mainnet-0261</x:v>
      </x:c>
      <x:c r="C266" s="90" t="str">
        <x:v>0xe29e3e16ab2e3e886bc2d4bbf4f66293c3a90dc0</x:v>
      </x:c>
      <x:c r="D266" s="98" t="str"/>
      <x:c r="E266" s="98" t="str">
        <x:v>EOA_CANDIDATE</x:v>
      </x:c>
      <x:c r="F266" s="91" t="b">
        <x:v>0</x:v>
      </x:c>
      <x:c r="G266" s="89" t="n">
        <x:v>0</x:v>
      </x:c>
      <x:c r="H266" s="90" t="str">
        <x:v>6880000000000</x:v>
      </x:c>
      <x:c r="I266" s="92" t="n">
        <x:v>6.88</x:v>
      </x:c>
      <x:c r="J266" s="92" t="str">
        <x:v>6880000000000000000</x:v>
      </x:c>
      <x:c r="K266" s="92" t="n">
        <x:v>6.88</x:v>
      </x:c>
      <x:c r="L266" s="98" t="str">
        <x:v>PENDING_OWNER_ELIGIBILITY_APPROVAL</x:v>
      </x:c>
      <x:c r="M266" s="98" t="b">
        <x:f>IF(E266="EOA_CANDIDATE",I266&gt;='Decision Summary'!$B$11,FALSE)</x:f>
        <x:v>0</x:v>
      </x:c>
      <x:c r="N266" s="98" t="str">
        <x:f>IF(M266,"DRAFT INCLUDE","HOLD / EXCLUDE")</x:f>
        <x:v>HOLD / EXCLUDE</x:v>
      </x:c>
      <x:c r="O266" s="101" t="str">
        <x:f>IF(M266,C266,"")</x:f>
      </x:c>
      <x:c r="P266" s="98" t="str">
        <x:f>IF(N266="DRAFT INCLUDE",ROUNDUP(COUNTIF($N$6:N266,"DRAFT INCLUDE")/'Decision Summary'!$B$12,0),"")</x:f>
      </x:c>
      <x:c r="Q266" s="98" t="str">
        <x:f>IF(N266="DRAFT INCLUDE",MOD(COUNTIF($N$6:N266,"DRAFT INCLUDE")-1,'Decision Summary'!$B$12)+1,"")</x:f>
      </x:c>
      <x:c r="R266" s="98" t="str">
        <x:v>PENDING</x:v>
      </x:c>
      <x:c r="S266" s="98" t="str"/>
      <x:c r="T266" s="98" t="str">
        <x:v>Ordinary EOA candidate; inclusion still depends on V1 deprecation, threshold policy and owner approval.</x:v>
      </x:c>
      <x:c r="U266" s="89" t="str">
        <x:v>https://etherscan.io/token/0x445d03f499f1c150615957bb87588fb465fc91cc#balances</x:v>
      </x:c>
      <x:c r="V266" s="89" t="b">
        <x:f>COUNTIF($C$6:$C$502,C266)&gt;1</x:f>
        <x:v>0</x:v>
      </x:c>
    </x:row>
    <x:row r="267">
      <x:c r="A267" s="89" t="n">
        <x:v>262</x:v>
      </x:c>
      <x:c r="B267" s="89" t="str">
        <x:v>v1-mainnet-0262</x:v>
      </x:c>
      <x:c r="C267" s="90" t="str">
        <x:v>0xc4162fa5a18a6a590352e50abfc7654ce2e7bfe9</x:v>
      </x:c>
      <x:c r="D267" s="98" t="str"/>
      <x:c r="E267" s="98" t="str">
        <x:v>EOA_CANDIDATE</x:v>
      </x:c>
      <x:c r="F267" s="91" t="b">
        <x:v>0</x:v>
      </x:c>
      <x:c r="G267" s="89" t="n">
        <x:v>0</x:v>
      </x:c>
      <x:c r="H267" s="90" t="str">
        <x:v>6871500000000</x:v>
      </x:c>
      <x:c r="I267" s="92" t="n">
        <x:v>6.8715</x:v>
      </x:c>
      <x:c r="J267" s="92" t="str">
        <x:v>6871500000000000000</x:v>
      </x:c>
      <x:c r="K267" s="92" t="n">
        <x:v>6.8715</x:v>
      </x:c>
      <x:c r="L267" s="98" t="str">
        <x:v>PENDING_OWNER_ELIGIBILITY_APPROVAL</x:v>
      </x:c>
      <x:c r="M267" s="98" t="b">
        <x:f>IF(E267="EOA_CANDIDATE",I267&gt;='Decision Summary'!$B$11,FALSE)</x:f>
        <x:v>0</x:v>
      </x:c>
      <x:c r="N267" s="98" t="str">
        <x:f>IF(M267,"DRAFT INCLUDE","HOLD / EXCLUDE")</x:f>
        <x:v>HOLD / EXCLUDE</x:v>
      </x:c>
      <x:c r="O267" s="101" t="str">
        <x:f>IF(M267,C267,"")</x:f>
      </x:c>
      <x:c r="P267" s="98" t="str">
        <x:f>IF(N267="DRAFT INCLUDE",ROUNDUP(COUNTIF($N$6:N267,"DRAFT INCLUDE")/'Decision Summary'!$B$12,0),"")</x:f>
      </x:c>
      <x:c r="Q267" s="98" t="str">
        <x:f>IF(N267="DRAFT INCLUDE",MOD(COUNTIF($N$6:N267,"DRAFT INCLUDE")-1,'Decision Summary'!$B$12)+1,"")</x:f>
      </x:c>
      <x:c r="R267" s="98" t="str">
        <x:v>PENDING</x:v>
      </x:c>
      <x:c r="S267" s="98" t="str"/>
      <x:c r="T267" s="98" t="str">
        <x:v>Ordinary EOA candidate; inclusion still depends on V1 deprecation, threshold policy and owner approval.</x:v>
      </x:c>
      <x:c r="U267" s="89" t="str">
        <x:v>https://etherscan.io/token/0x445d03f499f1c150615957bb87588fb465fc91cc#balances</x:v>
      </x:c>
      <x:c r="V267" s="89" t="b">
        <x:f>COUNTIF($C$6:$C$502,C267)&gt;1</x:f>
        <x:v>0</x:v>
      </x:c>
    </x:row>
    <x:row r="268">
      <x:c r="A268" s="89" t="n">
        <x:v>263</x:v>
      </x:c>
      <x:c r="B268" s="89" t="str">
        <x:v>v1-mainnet-0263</x:v>
      </x:c>
      <x:c r="C268" s="90" t="str">
        <x:v>0x8066a495c7ef7e015a4966a21637953f454b4240</x:v>
      </x:c>
      <x:c r="D268" s="98" t="str"/>
      <x:c r="E268" s="98" t="str">
        <x:v>EOA_CANDIDATE</x:v>
      </x:c>
      <x:c r="F268" s="91" t="b">
        <x:v>0</x:v>
      </x:c>
      <x:c r="G268" s="89" t="n">
        <x:v>0</x:v>
      </x:c>
      <x:c r="H268" s="90" t="str">
        <x:v>6868400000000</x:v>
      </x:c>
      <x:c r="I268" s="92" t="n">
        <x:v>6.8684</x:v>
      </x:c>
      <x:c r="J268" s="92" t="str">
        <x:v>6868400000000000000</x:v>
      </x:c>
      <x:c r="K268" s="92" t="n">
        <x:v>6.8684</x:v>
      </x:c>
      <x:c r="L268" s="98" t="str">
        <x:v>PENDING_OWNER_ELIGIBILITY_APPROVAL</x:v>
      </x:c>
      <x:c r="M268" s="98" t="b">
        <x:f>IF(E268="EOA_CANDIDATE",I268&gt;='Decision Summary'!$B$11,FALSE)</x:f>
        <x:v>0</x:v>
      </x:c>
      <x:c r="N268" s="98" t="str">
        <x:f>IF(M268,"DRAFT INCLUDE","HOLD / EXCLUDE")</x:f>
        <x:v>HOLD / EXCLUDE</x:v>
      </x:c>
      <x:c r="O268" s="101" t="str">
        <x:f>IF(M268,C268,"")</x:f>
      </x:c>
      <x:c r="P268" s="98" t="str">
        <x:f>IF(N268="DRAFT INCLUDE",ROUNDUP(COUNTIF($N$6:N268,"DRAFT INCLUDE")/'Decision Summary'!$B$12,0),"")</x:f>
      </x:c>
      <x:c r="Q268" s="98" t="str">
        <x:f>IF(N268="DRAFT INCLUDE",MOD(COUNTIF($N$6:N268,"DRAFT INCLUDE")-1,'Decision Summary'!$B$12)+1,"")</x:f>
      </x:c>
      <x:c r="R268" s="98" t="str">
        <x:v>PENDING</x:v>
      </x:c>
      <x:c r="S268" s="98" t="str"/>
      <x:c r="T268" s="98" t="str">
        <x:v>Ordinary EOA candidate; inclusion still depends on V1 deprecation, threshold policy and owner approval.</x:v>
      </x:c>
      <x:c r="U268" s="89" t="str">
        <x:v>https://etherscan.io/token/0x445d03f499f1c150615957bb87588fb465fc91cc#balances</x:v>
      </x:c>
      <x:c r="V268" s="89" t="b">
        <x:f>COUNTIF($C$6:$C$502,C268)&gt;1</x:f>
        <x:v>0</x:v>
      </x:c>
    </x:row>
    <x:row r="269">
      <x:c r="A269" s="89" t="n">
        <x:v>264</x:v>
      </x:c>
      <x:c r="B269" s="89" t="str">
        <x:v>v1-mainnet-0264</x:v>
      </x:c>
      <x:c r="C269" s="90" t="str">
        <x:v>0x55ebdd60ed8ecde94f86bd652f90128376bf3477</x:v>
      </x:c>
      <x:c r="D269" s="98" t="str"/>
      <x:c r="E269" s="98" t="str">
        <x:v>EOA_CANDIDATE</x:v>
      </x:c>
      <x:c r="F269" s="91" t="b">
        <x:v>0</x:v>
      </x:c>
      <x:c r="G269" s="89" t="n">
        <x:v>0</x:v>
      </x:c>
      <x:c r="H269" s="90" t="str">
        <x:v>6852500000000</x:v>
      </x:c>
      <x:c r="I269" s="92" t="n">
        <x:v>6.8525</x:v>
      </x:c>
      <x:c r="J269" s="92" t="str">
        <x:v>6852500000000000000</x:v>
      </x:c>
      <x:c r="K269" s="92" t="n">
        <x:v>6.8525</x:v>
      </x:c>
      <x:c r="L269" s="98" t="str">
        <x:v>PENDING_OWNER_ELIGIBILITY_APPROVAL</x:v>
      </x:c>
      <x:c r="M269" s="98" t="b">
        <x:f>IF(E269="EOA_CANDIDATE",I269&gt;='Decision Summary'!$B$11,FALSE)</x:f>
        <x:v>0</x:v>
      </x:c>
      <x:c r="N269" s="98" t="str">
        <x:f>IF(M269,"DRAFT INCLUDE","HOLD / EXCLUDE")</x:f>
        <x:v>HOLD / EXCLUDE</x:v>
      </x:c>
      <x:c r="O269" s="101" t="str">
        <x:f>IF(M269,C269,"")</x:f>
      </x:c>
      <x:c r="P269" s="98" t="str">
        <x:f>IF(N269="DRAFT INCLUDE",ROUNDUP(COUNTIF($N$6:N269,"DRAFT INCLUDE")/'Decision Summary'!$B$12,0),"")</x:f>
      </x:c>
      <x:c r="Q269" s="98" t="str">
        <x:f>IF(N269="DRAFT INCLUDE",MOD(COUNTIF($N$6:N269,"DRAFT INCLUDE")-1,'Decision Summary'!$B$12)+1,"")</x:f>
      </x:c>
      <x:c r="R269" s="98" t="str">
        <x:v>PENDING</x:v>
      </x:c>
      <x:c r="S269" s="98" t="str"/>
      <x:c r="T269" s="98" t="str">
        <x:v>Ordinary EOA candidate; inclusion still depends on V1 deprecation, threshold policy and owner approval.</x:v>
      </x:c>
      <x:c r="U269" s="89" t="str">
        <x:v>https://etherscan.io/token/0x445d03f499f1c150615957bb87588fb465fc91cc#balances</x:v>
      </x:c>
      <x:c r="V269" s="89" t="b">
        <x:f>COUNTIF($C$6:$C$502,C269)&gt;1</x:f>
        <x:v>0</x:v>
      </x:c>
    </x:row>
    <x:row r="270">
      <x:c r="A270" s="89" t="n">
        <x:v>265</x:v>
      </x:c>
      <x:c r="B270" s="89" t="str">
        <x:v>v1-mainnet-0265</x:v>
      </x:c>
      <x:c r="C270" s="90" t="str">
        <x:v>0x3dcc7394f424dd786ff8eb51119a307ab76126e8</x:v>
      </x:c>
      <x:c r="D270" s="98" t="str"/>
      <x:c r="E270" s="98" t="str">
        <x:v>EOA_CANDIDATE</x:v>
      </x:c>
      <x:c r="F270" s="91" t="b">
        <x:v>0</x:v>
      </x:c>
      <x:c r="G270" s="89" t="n">
        <x:v>0</x:v>
      </x:c>
      <x:c r="H270" s="90" t="str">
        <x:v>6851100000000</x:v>
      </x:c>
      <x:c r="I270" s="92" t="n">
        <x:v>6.8511</x:v>
      </x:c>
      <x:c r="J270" s="92" t="str">
        <x:v>6851100000000000000</x:v>
      </x:c>
      <x:c r="K270" s="92" t="n">
        <x:v>6.8511</x:v>
      </x:c>
      <x:c r="L270" s="98" t="str">
        <x:v>PENDING_OWNER_ELIGIBILITY_APPROVAL</x:v>
      </x:c>
      <x:c r="M270" s="98" t="b">
        <x:f>IF(E270="EOA_CANDIDATE",I270&gt;='Decision Summary'!$B$11,FALSE)</x:f>
        <x:v>0</x:v>
      </x:c>
      <x:c r="N270" s="98" t="str">
        <x:f>IF(M270,"DRAFT INCLUDE","HOLD / EXCLUDE")</x:f>
        <x:v>HOLD / EXCLUDE</x:v>
      </x:c>
      <x:c r="O270" s="101" t="str">
        <x:f>IF(M270,C270,"")</x:f>
      </x:c>
      <x:c r="P270" s="98" t="str">
        <x:f>IF(N270="DRAFT INCLUDE",ROUNDUP(COUNTIF($N$6:N270,"DRAFT INCLUDE")/'Decision Summary'!$B$12,0),"")</x:f>
      </x:c>
      <x:c r="Q270" s="98" t="str">
        <x:f>IF(N270="DRAFT INCLUDE",MOD(COUNTIF($N$6:N270,"DRAFT INCLUDE")-1,'Decision Summary'!$B$12)+1,"")</x:f>
      </x:c>
      <x:c r="R270" s="98" t="str">
        <x:v>PENDING</x:v>
      </x:c>
      <x:c r="S270" s="98" t="str"/>
      <x:c r="T270" s="98" t="str">
        <x:v>Ordinary EOA candidate; inclusion still depends on V1 deprecation, threshold policy and owner approval.</x:v>
      </x:c>
      <x:c r="U270" s="89" t="str">
        <x:v>https://etherscan.io/token/0x445d03f499f1c150615957bb87588fb465fc91cc#balances</x:v>
      </x:c>
      <x:c r="V270" s="89" t="b">
        <x:f>COUNTIF($C$6:$C$502,C270)&gt;1</x:f>
        <x:v>0</x:v>
      </x:c>
    </x:row>
    <x:row r="271">
      <x:c r="A271" s="89" t="n">
        <x:v>266</x:v>
      </x:c>
      <x:c r="B271" s="89" t="str">
        <x:v>v1-mainnet-0266</x:v>
      </x:c>
      <x:c r="C271" s="90" t="str">
        <x:v>0xd7f03f398f68b4837e6ebba349ec990f32dd339a</x:v>
      </x:c>
      <x:c r="D271" s="98" t="str"/>
      <x:c r="E271" s="98" t="str">
        <x:v>EOA_CANDIDATE</x:v>
      </x:c>
      <x:c r="F271" s="91" t="b">
        <x:v>0</x:v>
      </x:c>
      <x:c r="G271" s="89" t="n">
        <x:v>0</x:v>
      </x:c>
      <x:c r="H271" s="90" t="str">
        <x:v>6785500000000</x:v>
      </x:c>
      <x:c r="I271" s="92" t="n">
        <x:v>6.7855</x:v>
      </x:c>
      <x:c r="J271" s="92" t="str">
        <x:v>6785500000000000000</x:v>
      </x:c>
      <x:c r="K271" s="92" t="n">
        <x:v>6.7855</x:v>
      </x:c>
      <x:c r="L271" s="98" t="str">
        <x:v>PENDING_OWNER_ELIGIBILITY_APPROVAL</x:v>
      </x:c>
      <x:c r="M271" s="98" t="b">
        <x:f>IF(E271="EOA_CANDIDATE",I271&gt;='Decision Summary'!$B$11,FALSE)</x:f>
        <x:v>0</x:v>
      </x:c>
      <x:c r="N271" s="98" t="str">
        <x:f>IF(M271,"DRAFT INCLUDE","HOLD / EXCLUDE")</x:f>
        <x:v>HOLD / EXCLUDE</x:v>
      </x:c>
      <x:c r="O271" s="101" t="str">
        <x:f>IF(M271,C271,"")</x:f>
      </x:c>
      <x:c r="P271" s="98" t="str">
        <x:f>IF(N271="DRAFT INCLUDE",ROUNDUP(COUNTIF($N$6:N271,"DRAFT INCLUDE")/'Decision Summary'!$B$12,0),"")</x:f>
      </x:c>
      <x:c r="Q271" s="98" t="str">
        <x:f>IF(N271="DRAFT INCLUDE",MOD(COUNTIF($N$6:N271,"DRAFT INCLUDE")-1,'Decision Summary'!$B$12)+1,"")</x:f>
      </x:c>
      <x:c r="R271" s="98" t="str">
        <x:v>PENDING</x:v>
      </x:c>
      <x:c r="S271" s="98" t="str"/>
      <x:c r="T271" s="98" t="str">
        <x:v>Ordinary EOA candidate; inclusion still depends on V1 deprecation, threshold policy and owner approval.</x:v>
      </x:c>
      <x:c r="U271" s="89" t="str">
        <x:v>https://etherscan.io/token/0x445d03f499f1c150615957bb87588fb465fc91cc#balances</x:v>
      </x:c>
      <x:c r="V271" s="89" t="b">
        <x:f>COUNTIF($C$6:$C$502,C271)&gt;1</x:f>
        <x:v>0</x:v>
      </x:c>
    </x:row>
    <x:row r="272">
      <x:c r="A272" s="89" t="n">
        <x:v>267</x:v>
      </x:c>
      <x:c r="B272" s="89" t="str">
        <x:v>v1-mainnet-0267</x:v>
      </x:c>
      <x:c r="C272" s="90" t="str">
        <x:v>0x981efd1c8150c84e2381d1b25508181eb743cd52</x:v>
      </x:c>
      <x:c r="D272" s="98" t="str"/>
      <x:c r="E272" s="98" t="str">
        <x:v>EOA_CANDIDATE</x:v>
      </x:c>
      <x:c r="F272" s="91" t="b">
        <x:v>0</x:v>
      </x:c>
      <x:c r="G272" s="89" t="n">
        <x:v>0</x:v>
      </x:c>
      <x:c r="H272" s="90" t="str">
        <x:v>6760500000000</x:v>
      </x:c>
      <x:c r="I272" s="92" t="n">
        <x:v>6.7605</x:v>
      </x:c>
      <x:c r="J272" s="92" t="str">
        <x:v>6760500000000000000</x:v>
      </x:c>
      <x:c r="K272" s="92" t="n">
        <x:v>6.7605</x:v>
      </x:c>
      <x:c r="L272" s="98" t="str">
        <x:v>PENDING_OWNER_ELIGIBILITY_APPROVAL</x:v>
      </x:c>
      <x:c r="M272" s="98" t="b">
        <x:f>IF(E272="EOA_CANDIDATE",I272&gt;='Decision Summary'!$B$11,FALSE)</x:f>
        <x:v>0</x:v>
      </x:c>
      <x:c r="N272" s="98" t="str">
        <x:f>IF(M272,"DRAFT INCLUDE","HOLD / EXCLUDE")</x:f>
        <x:v>HOLD / EXCLUDE</x:v>
      </x:c>
      <x:c r="O272" s="101" t="str">
        <x:f>IF(M272,C272,"")</x:f>
      </x:c>
      <x:c r="P272" s="98" t="str">
        <x:f>IF(N272="DRAFT INCLUDE",ROUNDUP(COUNTIF($N$6:N272,"DRAFT INCLUDE")/'Decision Summary'!$B$12,0),"")</x:f>
      </x:c>
      <x:c r="Q272" s="98" t="str">
        <x:f>IF(N272="DRAFT INCLUDE",MOD(COUNTIF($N$6:N272,"DRAFT INCLUDE")-1,'Decision Summary'!$B$12)+1,"")</x:f>
      </x:c>
      <x:c r="R272" s="98" t="str">
        <x:v>PENDING</x:v>
      </x:c>
      <x:c r="S272" s="98" t="str"/>
      <x:c r="T272" s="98" t="str">
        <x:v>Ordinary EOA candidate; inclusion still depends on V1 deprecation, threshold policy and owner approval.</x:v>
      </x:c>
      <x:c r="U272" s="89" t="str">
        <x:v>https://etherscan.io/token/0x445d03f499f1c150615957bb87588fb465fc91cc#balances</x:v>
      </x:c>
      <x:c r="V272" s="89" t="b">
        <x:f>COUNTIF($C$6:$C$502,C272)&gt;1</x:f>
        <x:v>0</x:v>
      </x:c>
    </x:row>
    <x:row r="273">
      <x:c r="A273" s="89" t="n">
        <x:v>268</x:v>
      </x:c>
      <x:c r="B273" s="89" t="str">
        <x:v>v1-mainnet-0268</x:v>
      </x:c>
      <x:c r="C273" s="90" t="str">
        <x:v>0xbd07e1c6c5f4bb3633069b268c383b4dde85ca23</x:v>
      </x:c>
      <x:c r="D273" s="98" t="str"/>
      <x:c r="E273" s="98" t="str">
        <x:v>EOA_CANDIDATE</x:v>
      </x:c>
      <x:c r="F273" s="91" t="b">
        <x:v>0</x:v>
      </x:c>
      <x:c r="G273" s="89" t="n">
        <x:v>0</x:v>
      </x:c>
      <x:c r="H273" s="90" t="str">
        <x:v>6752400000000</x:v>
      </x:c>
      <x:c r="I273" s="92" t="n">
        <x:v>6.7524</x:v>
      </x:c>
      <x:c r="J273" s="92" t="str">
        <x:v>6752400000000000000</x:v>
      </x:c>
      <x:c r="K273" s="92" t="n">
        <x:v>6.7524</x:v>
      </x:c>
      <x:c r="L273" s="98" t="str">
        <x:v>PENDING_OWNER_ELIGIBILITY_APPROVAL</x:v>
      </x:c>
      <x:c r="M273" s="98" t="b">
        <x:f>IF(E273="EOA_CANDIDATE",I273&gt;='Decision Summary'!$B$11,FALSE)</x:f>
        <x:v>0</x:v>
      </x:c>
      <x:c r="N273" s="98" t="str">
        <x:f>IF(M273,"DRAFT INCLUDE","HOLD / EXCLUDE")</x:f>
        <x:v>HOLD / EXCLUDE</x:v>
      </x:c>
      <x:c r="O273" s="101" t="str">
        <x:f>IF(M273,C273,"")</x:f>
      </x:c>
      <x:c r="P273" s="98" t="str">
        <x:f>IF(N273="DRAFT INCLUDE",ROUNDUP(COUNTIF($N$6:N273,"DRAFT INCLUDE")/'Decision Summary'!$B$12,0),"")</x:f>
      </x:c>
      <x:c r="Q273" s="98" t="str">
        <x:f>IF(N273="DRAFT INCLUDE",MOD(COUNTIF($N$6:N273,"DRAFT INCLUDE")-1,'Decision Summary'!$B$12)+1,"")</x:f>
      </x:c>
      <x:c r="R273" s="98" t="str">
        <x:v>PENDING</x:v>
      </x:c>
      <x:c r="S273" s="98" t="str"/>
      <x:c r="T273" s="98" t="str">
        <x:v>Ordinary EOA candidate; inclusion still depends on V1 deprecation, threshold policy and owner approval.</x:v>
      </x:c>
      <x:c r="U273" s="89" t="str">
        <x:v>https://etherscan.io/token/0x445d03f499f1c150615957bb87588fb465fc91cc#balances</x:v>
      </x:c>
      <x:c r="V273" s="89" t="b">
        <x:f>COUNTIF($C$6:$C$502,C273)&gt;1</x:f>
        <x:v>0</x:v>
      </x:c>
    </x:row>
    <x:row r="274">
      <x:c r="A274" s="89" t="n">
        <x:v>269</x:v>
      </x:c>
      <x:c r="B274" s="89" t="str">
        <x:v>v1-mainnet-0269</x:v>
      </x:c>
      <x:c r="C274" s="90" t="str">
        <x:v>0xa1e7302344ca3c8184767a4d542b532ef6d6611a</x:v>
      </x:c>
      <x:c r="D274" s="98" t="str"/>
      <x:c r="E274" s="98" t="str">
        <x:v>EOA_CANDIDATE</x:v>
      </x:c>
      <x:c r="F274" s="91" t="b">
        <x:v>0</x:v>
      </x:c>
      <x:c r="G274" s="89" t="n">
        <x:v>0</x:v>
      </x:c>
      <x:c r="H274" s="90" t="str">
        <x:v>6751700000000</x:v>
      </x:c>
      <x:c r="I274" s="92" t="n">
        <x:v>6.7517</x:v>
      </x:c>
      <x:c r="J274" s="92" t="str">
        <x:v>6751700000000000000</x:v>
      </x:c>
      <x:c r="K274" s="92" t="n">
        <x:v>6.7517</x:v>
      </x:c>
      <x:c r="L274" s="98" t="str">
        <x:v>PENDING_OWNER_ELIGIBILITY_APPROVAL</x:v>
      </x:c>
      <x:c r="M274" s="98" t="b">
        <x:f>IF(E274="EOA_CANDIDATE",I274&gt;='Decision Summary'!$B$11,FALSE)</x:f>
        <x:v>0</x:v>
      </x:c>
      <x:c r="N274" s="98" t="str">
        <x:f>IF(M274,"DRAFT INCLUDE","HOLD / EXCLUDE")</x:f>
        <x:v>HOLD / EXCLUDE</x:v>
      </x:c>
      <x:c r="O274" s="101" t="str">
        <x:f>IF(M274,C274,"")</x:f>
      </x:c>
      <x:c r="P274" s="98" t="str">
        <x:f>IF(N274="DRAFT INCLUDE",ROUNDUP(COUNTIF($N$6:N274,"DRAFT INCLUDE")/'Decision Summary'!$B$12,0),"")</x:f>
      </x:c>
      <x:c r="Q274" s="98" t="str">
        <x:f>IF(N274="DRAFT INCLUDE",MOD(COUNTIF($N$6:N274,"DRAFT INCLUDE")-1,'Decision Summary'!$B$12)+1,"")</x:f>
      </x:c>
      <x:c r="R274" s="98" t="str">
        <x:v>PENDING</x:v>
      </x:c>
      <x:c r="S274" s="98" t="str"/>
      <x:c r="T274" s="98" t="str">
        <x:v>Ordinary EOA candidate; inclusion still depends on V1 deprecation, threshold policy and owner approval.</x:v>
      </x:c>
      <x:c r="U274" s="89" t="str">
        <x:v>https://etherscan.io/token/0x445d03f499f1c150615957bb87588fb465fc91cc#balances</x:v>
      </x:c>
      <x:c r="V274" s="89" t="b">
        <x:f>COUNTIF($C$6:$C$502,C274)&gt;1</x:f>
        <x:v>0</x:v>
      </x:c>
    </x:row>
    <x:row r="275">
      <x:c r="A275" s="89" t="n">
        <x:v>270</x:v>
      </x:c>
      <x:c r="B275" s="89" t="str">
        <x:v>v1-mainnet-0270</x:v>
      </x:c>
      <x:c r="C275" s="90" t="str">
        <x:v>0x35e79dd973ff2c2945a0883a15650e8849e62cb2</x:v>
      </x:c>
      <x:c r="D275" s="98" t="str"/>
      <x:c r="E275" s="98" t="str">
        <x:v>EOA_CANDIDATE</x:v>
      </x:c>
      <x:c r="F275" s="91" t="b">
        <x:v>0</x:v>
      </x:c>
      <x:c r="G275" s="89" t="n">
        <x:v>0</x:v>
      </x:c>
      <x:c r="H275" s="90" t="str">
        <x:v>6730100000000</x:v>
      </x:c>
      <x:c r="I275" s="92" t="n">
        <x:v>6.7301</x:v>
      </x:c>
      <x:c r="J275" s="92" t="str">
        <x:v>6730100000000000000</x:v>
      </x:c>
      <x:c r="K275" s="92" t="n">
        <x:v>6.7301</x:v>
      </x:c>
      <x:c r="L275" s="98" t="str">
        <x:v>PENDING_OWNER_ELIGIBILITY_APPROVAL</x:v>
      </x:c>
      <x:c r="M275" s="98" t="b">
        <x:f>IF(E275="EOA_CANDIDATE",I275&gt;='Decision Summary'!$B$11,FALSE)</x:f>
        <x:v>0</x:v>
      </x:c>
      <x:c r="N275" s="98" t="str">
        <x:f>IF(M275,"DRAFT INCLUDE","HOLD / EXCLUDE")</x:f>
        <x:v>HOLD / EXCLUDE</x:v>
      </x:c>
      <x:c r="O275" s="101" t="str">
        <x:f>IF(M275,C275,"")</x:f>
      </x:c>
      <x:c r="P275" s="98" t="str">
        <x:f>IF(N275="DRAFT INCLUDE",ROUNDUP(COUNTIF($N$6:N275,"DRAFT INCLUDE")/'Decision Summary'!$B$12,0),"")</x:f>
      </x:c>
      <x:c r="Q275" s="98" t="str">
        <x:f>IF(N275="DRAFT INCLUDE",MOD(COUNTIF($N$6:N275,"DRAFT INCLUDE")-1,'Decision Summary'!$B$12)+1,"")</x:f>
      </x:c>
      <x:c r="R275" s="98" t="str">
        <x:v>PENDING</x:v>
      </x:c>
      <x:c r="S275" s="98" t="str"/>
      <x:c r="T275" s="98" t="str">
        <x:v>Ordinary EOA candidate; inclusion still depends on V1 deprecation, threshold policy and owner approval.</x:v>
      </x:c>
      <x:c r="U275" s="89" t="str">
        <x:v>https://etherscan.io/token/0x445d03f499f1c150615957bb87588fb465fc91cc#balances</x:v>
      </x:c>
      <x:c r="V275" s="89" t="b">
        <x:f>COUNTIF($C$6:$C$502,C275)&gt;1</x:f>
        <x:v>0</x:v>
      </x:c>
    </x:row>
    <x:row r="276">
      <x:c r="A276" s="89" t="n">
        <x:v>271</x:v>
      </x:c>
      <x:c r="B276" s="89" t="str">
        <x:v>v1-mainnet-0271</x:v>
      </x:c>
      <x:c r="C276" s="90" t="str">
        <x:v>0xab83a94ffcbcc90138692c3894dcc7bcfa48b205</x:v>
      </x:c>
      <x:c r="D276" s="98" t="str"/>
      <x:c r="E276" s="98" t="str">
        <x:v>EOA_CANDIDATE</x:v>
      </x:c>
      <x:c r="F276" s="91" t="b">
        <x:v>0</x:v>
      </x:c>
      <x:c r="G276" s="89" t="n">
        <x:v>0</x:v>
      </x:c>
      <x:c r="H276" s="90" t="str">
        <x:v>6726100000000</x:v>
      </x:c>
      <x:c r="I276" s="92" t="n">
        <x:v>6.7261</x:v>
      </x:c>
      <x:c r="J276" s="92" t="str">
        <x:v>6726100000000000000</x:v>
      </x:c>
      <x:c r="K276" s="92" t="n">
        <x:v>6.7261</x:v>
      </x:c>
      <x:c r="L276" s="98" t="str">
        <x:v>PENDING_OWNER_ELIGIBILITY_APPROVAL</x:v>
      </x:c>
      <x:c r="M276" s="98" t="b">
        <x:f>IF(E276="EOA_CANDIDATE",I276&gt;='Decision Summary'!$B$11,FALSE)</x:f>
        <x:v>0</x:v>
      </x:c>
      <x:c r="N276" s="98" t="str">
        <x:f>IF(M276,"DRAFT INCLUDE","HOLD / EXCLUDE")</x:f>
        <x:v>HOLD / EXCLUDE</x:v>
      </x:c>
      <x:c r="O276" s="101" t="str">
        <x:f>IF(M276,C276,"")</x:f>
      </x:c>
      <x:c r="P276" s="98" t="str">
        <x:f>IF(N276="DRAFT INCLUDE",ROUNDUP(COUNTIF($N$6:N276,"DRAFT INCLUDE")/'Decision Summary'!$B$12,0),"")</x:f>
      </x:c>
      <x:c r="Q276" s="98" t="str">
        <x:f>IF(N276="DRAFT INCLUDE",MOD(COUNTIF($N$6:N276,"DRAFT INCLUDE")-1,'Decision Summary'!$B$12)+1,"")</x:f>
      </x:c>
      <x:c r="R276" s="98" t="str">
        <x:v>PENDING</x:v>
      </x:c>
      <x:c r="S276" s="98" t="str"/>
      <x:c r="T276" s="98" t="str">
        <x:v>Ordinary EOA candidate; inclusion still depends on V1 deprecation, threshold policy and owner approval.</x:v>
      </x:c>
      <x:c r="U276" s="89" t="str">
        <x:v>https://etherscan.io/token/0x445d03f499f1c150615957bb87588fb465fc91cc#balances</x:v>
      </x:c>
      <x:c r="V276" s="89" t="b">
        <x:f>COUNTIF($C$6:$C$502,C276)&gt;1</x:f>
        <x:v>0</x:v>
      </x:c>
    </x:row>
    <x:row r="277">
      <x:c r="A277" s="89" t="n">
        <x:v>272</x:v>
      </x:c>
      <x:c r="B277" s="89" t="str">
        <x:v>v1-mainnet-0272</x:v>
      </x:c>
      <x:c r="C277" s="90" t="str">
        <x:v>0xf5f57546758bdb84658cfd0631dd5a8a03e587f6</x:v>
      </x:c>
      <x:c r="D277" s="98" t="str"/>
      <x:c r="E277" s="98" t="str">
        <x:v>EOA_CANDIDATE</x:v>
      </x:c>
      <x:c r="F277" s="91" t="b">
        <x:v>0</x:v>
      </x:c>
      <x:c r="G277" s="89" t="n">
        <x:v>0</x:v>
      </x:c>
      <x:c r="H277" s="90" t="str">
        <x:v>6684100000000</x:v>
      </x:c>
      <x:c r="I277" s="92" t="n">
        <x:v>6.6841</x:v>
      </x:c>
      <x:c r="J277" s="92" t="str">
        <x:v>6684100000000000000</x:v>
      </x:c>
      <x:c r="K277" s="92" t="n">
        <x:v>6.6841</x:v>
      </x:c>
      <x:c r="L277" s="98" t="str">
        <x:v>PENDING_OWNER_ELIGIBILITY_APPROVAL</x:v>
      </x:c>
      <x:c r="M277" s="98" t="b">
        <x:f>IF(E277="EOA_CANDIDATE",I277&gt;='Decision Summary'!$B$11,FALSE)</x:f>
        <x:v>0</x:v>
      </x:c>
      <x:c r="N277" s="98" t="str">
        <x:f>IF(M277,"DRAFT INCLUDE","HOLD / EXCLUDE")</x:f>
        <x:v>HOLD / EXCLUDE</x:v>
      </x:c>
      <x:c r="O277" s="101" t="str">
        <x:f>IF(M277,C277,"")</x:f>
      </x:c>
      <x:c r="P277" s="98" t="str">
        <x:f>IF(N277="DRAFT INCLUDE",ROUNDUP(COUNTIF($N$6:N277,"DRAFT INCLUDE")/'Decision Summary'!$B$12,0),"")</x:f>
      </x:c>
      <x:c r="Q277" s="98" t="str">
        <x:f>IF(N277="DRAFT INCLUDE",MOD(COUNTIF($N$6:N277,"DRAFT INCLUDE")-1,'Decision Summary'!$B$12)+1,"")</x:f>
      </x:c>
      <x:c r="R277" s="98" t="str">
        <x:v>PENDING</x:v>
      </x:c>
      <x:c r="S277" s="98" t="str"/>
      <x:c r="T277" s="98" t="str">
        <x:v>Ordinary EOA candidate; inclusion still depends on V1 deprecation, threshold policy and owner approval.</x:v>
      </x:c>
      <x:c r="U277" s="89" t="str">
        <x:v>https://etherscan.io/token/0x445d03f499f1c150615957bb87588fb465fc91cc#balances</x:v>
      </x:c>
      <x:c r="V277" s="89" t="b">
        <x:f>COUNTIF($C$6:$C$502,C277)&gt;1</x:f>
        <x:v>0</x:v>
      </x:c>
    </x:row>
    <x:row r="278">
      <x:c r="A278" s="89" t="n">
        <x:v>273</x:v>
      </x:c>
      <x:c r="B278" s="89" t="str">
        <x:v>v1-mainnet-0273</x:v>
      </x:c>
      <x:c r="C278" s="90" t="str">
        <x:v>0xe039f7951dcf3412794c9f595174f5babb741ad4</x:v>
      </x:c>
      <x:c r="D278" s="98" t="str"/>
      <x:c r="E278" s="98" t="str">
        <x:v>EOA_CANDIDATE</x:v>
      </x:c>
      <x:c r="F278" s="91" t="b">
        <x:v>0</x:v>
      </x:c>
      <x:c r="G278" s="89" t="n">
        <x:v>0</x:v>
      </x:c>
      <x:c r="H278" s="90" t="str">
        <x:v>6656400000000</x:v>
      </x:c>
      <x:c r="I278" s="92" t="n">
        <x:v>6.6564</x:v>
      </x:c>
      <x:c r="J278" s="92" t="str">
        <x:v>6656400000000000000</x:v>
      </x:c>
      <x:c r="K278" s="92" t="n">
        <x:v>6.6564</x:v>
      </x:c>
      <x:c r="L278" s="98" t="str">
        <x:v>PENDING_OWNER_ELIGIBILITY_APPROVAL</x:v>
      </x:c>
      <x:c r="M278" s="98" t="b">
        <x:f>IF(E278="EOA_CANDIDATE",I278&gt;='Decision Summary'!$B$11,FALSE)</x:f>
        <x:v>0</x:v>
      </x:c>
      <x:c r="N278" s="98" t="str">
        <x:f>IF(M278,"DRAFT INCLUDE","HOLD / EXCLUDE")</x:f>
        <x:v>HOLD / EXCLUDE</x:v>
      </x:c>
      <x:c r="O278" s="101" t="str">
        <x:f>IF(M278,C278,"")</x:f>
      </x:c>
      <x:c r="P278" s="98" t="str">
        <x:f>IF(N278="DRAFT INCLUDE",ROUNDUP(COUNTIF($N$6:N278,"DRAFT INCLUDE")/'Decision Summary'!$B$12,0),"")</x:f>
      </x:c>
      <x:c r="Q278" s="98" t="str">
        <x:f>IF(N278="DRAFT INCLUDE",MOD(COUNTIF($N$6:N278,"DRAFT INCLUDE")-1,'Decision Summary'!$B$12)+1,"")</x:f>
      </x:c>
      <x:c r="R278" s="98" t="str">
        <x:v>PENDING</x:v>
      </x:c>
      <x:c r="S278" s="98" t="str"/>
      <x:c r="T278" s="98" t="str">
        <x:v>Ordinary EOA candidate; inclusion still depends on V1 deprecation, threshold policy and owner approval.</x:v>
      </x:c>
      <x:c r="U278" s="89" t="str">
        <x:v>https://etherscan.io/token/0x445d03f499f1c150615957bb87588fb465fc91cc#balances</x:v>
      </x:c>
      <x:c r="V278" s="89" t="b">
        <x:f>COUNTIF($C$6:$C$502,C278)&gt;1</x:f>
        <x:v>0</x:v>
      </x:c>
    </x:row>
    <x:row r="279">
      <x:c r="A279" s="89" t="n">
        <x:v>274</x:v>
      </x:c>
      <x:c r="B279" s="89" t="str">
        <x:v>v1-mainnet-0274</x:v>
      </x:c>
      <x:c r="C279" s="90" t="str">
        <x:v>0xad2c4b37e88b0fa63e1c18f1c0582415a6f39f7f</x:v>
      </x:c>
      <x:c r="D279" s="98" t="str"/>
      <x:c r="E279" s="98" t="str">
        <x:v>EOA_CANDIDATE</x:v>
      </x:c>
      <x:c r="F279" s="91" t="b">
        <x:v>0</x:v>
      </x:c>
      <x:c r="G279" s="89" t="n">
        <x:v>0</x:v>
      </x:c>
      <x:c r="H279" s="90" t="str">
        <x:v>6645000000000</x:v>
      </x:c>
      <x:c r="I279" s="92" t="n">
        <x:v>6.645</x:v>
      </x:c>
      <x:c r="J279" s="92" t="str">
        <x:v>6645000000000000000</x:v>
      </x:c>
      <x:c r="K279" s="92" t="n">
        <x:v>6.645</x:v>
      </x:c>
      <x:c r="L279" s="98" t="str">
        <x:v>PENDING_OWNER_ELIGIBILITY_APPROVAL</x:v>
      </x:c>
      <x:c r="M279" s="98" t="b">
        <x:f>IF(E279="EOA_CANDIDATE",I279&gt;='Decision Summary'!$B$11,FALSE)</x:f>
        <x:v>0</x:v>
      </x:c>
      <x:c r="N279" s="98" t="str">
        <x:f>IF(M279,"DRAFT INCLUDE","HOLD / EXCLUDE")</x:f>
        <x:v>HOLD / EXCLUDE</x:v>
      </x:c>
      <x:c r="O279" s="101" t="str">
        <x:f>IF(M279,C279,"")</x:f>
      </x:c>
      <x:c r="P279" s="98" t="str">
        <x:f>IF(N279="DRAFT INCLUDE",ROUNDUP(COUNTIF($N$6:N279,"DRAFT INCLUDE")/'Decision Summary'!$B$12,0),"")</x:f>
      </x:c>
      <x:c r="Q279" s="98" t="str">
        <x:f>IF(N279="DRAFT INCLUDE",MOD(COUNTIF($N$6:N279,"DRAFT INCLUDE")-1,'Decision Summary'!$B$12)+1,"")</x:f>
      </x:c>
      <x:c r="R279" s="98" t="str">
        <x:v>PENDING</x:v>
      </x:c>
      <x:c r="S279" s="98" t="str"/>
      <x:c r="T279" s="98" t="str">
        <x:v>Ordinary EOA candidate; inclusion still depends on V1 deprecation, threshold policy and owner approval.</x:v>
      </x:c>
      <x:c r="U279" s="89" t="str">
        <x:v>https://etherscan.io/token/0x445d03f499f1c150615957bb87588fb465fc91cc#balances</x:v>
      </x:c>
      <x:c r="V279" s="89" t="b">
        <x:f>COUNTIF($C$6:$C$502,C279)&gt;1</x:f>
        <x:v>0</x:v>
      </x:c>
    </x:row>
    <x:row r="280">
      <x:c r="A280" s="89" t="n">
        <x:v>275</x:v>
      </x:c>
      <x:c r="B280" s="89" t="str">
        <x:v>v1-mainnet-0275</x:v>
      </x:c>
      <x:c r="C280" s="90" t="str">
        <x:v>0xb60239d9c1a70e3003ce12573f44cbe3c2fb4e1d</x:v>
      </x:c>
      <x:c r="D280" s="98" t="str"/>
      <x:c r="E280" s="98" t="str">
        <x:v>EOA_CANDIDATE</x:v>
      </x:c>
      <x:c r="F280" s="91" t="b">
        <x:v>0</x:v>
      </x:c>
      <x:c r="G280" s="89" t="n">
        <x:v>0</x:v>
      </x:c>
      <x:c r="H280" s="90" t="str">
        <x:v>6624200000000</x:v>
      </x:c>
      <x:c r="I280" s="92" t="n">
        <x:v>6.6242</x:v>
      </x:c>
      <x:c r="J280" s="92" t="str">
        <x:v>6624200000000000000</x:v>
      </x:c>
      <x:c r="K280" s="92" t="n">
        <x:v>6.6242</x:v>
      </x:c>
      <x:c r="L280" s="98" t="str">
        <x:v>PENDING_OWNER_ELIGIBILITY_APPROVAL</x:v>
      </x:c>
      <x:c r="M280" s="98" t="b">
        <x:f>IF(E280="EOA_CANDIDATE",I280&gt;='Decision Summary'!$B$11,FALSE)</x:f>
        <x:v>0</x:v>
      </x:c>
      <x:c r="N280" s="98" t="str">
        <x:f>IF(M280,"DRAFT INCLUDE","HOLD / EXCLUDE")</x:f>
        <x:v>HOLD / EXCLUDE</x:v>
      </x:c>
      <x:c r="O280" s="101" t="str">
        <x:f>IF(M280,C280,"")</x:f>
      </x:c>
      <x:c r="P280" s="98" t="str">
        <x:f>IF(N280="DRAFT INCLUDE",ROUNDUP(COUNTIF($N$6:N280,"DRAFT INCLUDE")/'Decision Summary'!$B$12,0),"")</x:f>
      </x:c>
      <x:c r="Q280" s="98" t="str">
        <x:f>IF(N280="DRAFT INCLUDE",MOD(COUNTIF($N$6:N280,"DRAFT INCLUDE")-1,'Decision Summary'!$B$12)+1,"")</x:f>
      </x:c>
      <x:c r="R280" s="98" t="str">
        <x:v>PENDING</x:v>
      </x:c>
      <x:c r="S280" s="98" t="str"/>
      <x:c r="T280" s="98" t="str">
        <x:v>Ordinary EOA candidate; inclusion still depends on V1 deprecation, threshold policy and owner approval.</x:v>
      </x:c>
      <x:c r="U280" s="89" t="str">
        <x:v>https://etherscan.io/token/0x445d03f499f1c150615957bb87588fb465fc91cc#balances</x:v>
      </x:c>
      <x:c r="V280" s="89" t="b">
        <x:f>COUNTIF($C$6:$C$502,C280)&gt;1</x:f>
        <x:v>0</x:v>
      </x:c>
    </x:row>
    <x:row r="281">
      <x:c r="A281" s="89" t="n">
        <x:v>276</x:v>
      </x:c>
      <x:c r="B281" s="89" t="str">
        <x:v>v1-mainnet-0276</x:v>
      </x:c>
      <x:c r="C281" s="90" t="str">
        <x:v>0x45825cefbbde34fb20f3587a6c338cbb55286647</x:v>
      </x:c>
      <x:c r="D281" s="98" t="str"/>
      <x:c r="E281" s="98" t="str">
        <x:v>EOA_CANDIDATE</x:v>
      </x:c>
      <x:c r="F281" s="91" t="b">
        <x:v>0</x:v>
      </x:c>
      <x:c r="G281" s="89" t="n">
        <x:v>0</x:v>
      </x:c>
      <x:c r="H281" s="90" t="str">
        <x:v>6617300000000</x:v>
      </x:c>
      <x:c r="I281" s="92" t="n">
        <x:v>6.6173</x:v>
      </x:c>
      <x:c r="J281" s="92" t="str">
        <x:v>6617300000000000000</x:v>
      </x:c>
      <x:c r="K281" s="92" t="n">
        <x:v>6.6173</x:v>
      </x:c>
      <x:c r="L281" s="98" t="str">
        <x:v>PENDING_OWNER_ELIGIBILITY_APPROVAL</x:v>
      </x:c>
      <x:c r="M281" s="98" t="b">
        <x:f>IF(E281="EOA_CANDIDATE",I281&gt;='Decision Summary'!$B$11,FALSE)</x:f>
        <x:v>0</x:v>
      </x:c>
      <x:c r="N281" s="98" t="str">
        <x:f>IF(M281,"DRAFT INCLUDE","HOLD / EXCLUDE")</x:f>
        <x:v>HOLD / EXCLUDE</x:v>
      </x:c>
      <x:c r="O281" s="101" t="str">
        <x:f>IF(M281,C281,"")</x:f>
      </x:c>
      <x:c r="P281" s="98" t="str">
        <x:f>IF(N281="DRAFT INCLUDE",ROUNDUP(COUNTIF($N$6:N281,"DRAFT INCLUDE")/'Decision Summary'!$B$12,0),"")</x:f>
      </x:c>
      <x:c r="Q281" s="98" t="str">
        <x:f>IF(N281="DRAFT INCLUDE",MOD(COUNTIF($N$6:N281,"DRAFT INCLUDE")-1,'Decision Summary'!$B$12)+1,"")</x:f>
      </x:c>
      <x:c r="R281" s="98" t="str">
        <x:v>PENDING</x:v>
      </x:c>
      <x:c r="S281" s="98" t="str"/>
      <x:c r="T281" s="98" t="str">
        <x:v>Ordinary EOA candidate; inclusion still depends on V1 deprecation, threshold policy and owner approval.</x:v>
      </x:c>
      <x:c r="U281" s="89" t="str">
        <x:v>https://etherscan.io/token/0x445d03f499f1c150615957bb87588fb465fc91cc#balances</x:v>
      </x:c>
      <x:c r="V281" s="89" t="b">
        <x:f>COUNTIF($C$6:$C$502,C281)&gt;1</x:f>
        <x:v>0</x:v>
      </x:c>
    </x:row>
    <x:row r="282">
      <x:c r="A282" s="89" t="n">
        <x:v>277</x:v>
      </x:c>
      <x:c r="B282" s="89" t="str">
        <x:v>v1-mainnet-0277</x:v>
      </x:c>
      <x:c r="C282" s="90" t="str">
        <x:v>0x7ce7feeb87e57f9c30b06b36f92ffc845f8d5e47</x:v>
      </x:c>
      <x:c r="D282" s="98" t="str"/>
      <x:c r="E282" s="98" t="str">
        <x:v>EOA_CANDIDATE</x:v>
      </x:c>
      <x:c r="F282" s="91" t="b">
        <x:v>0</x:v>
      </x:c>
      <x:c r="G282" s="89" t="n">
        <x:v>0</x:v>
      </x:c>
      <x:c r="H282" s="90" t="str">
        <x:v>6614700000000</x:v>
      </x:c>
      <x:c r="I282" s="92" t="n">
        <x:v>6.6147</x:v>
      </x:c>
      <x:c r="J282" s="92" t="str">
        <x:v>6614700000000000000</x:v>
      </x:c>
      <x:c r="K282" s="92" t="n">
        <x:v>6.6147</x:v>
      </x:c>
      <x:c r="L282" s="98" t="str">
        <x:v>PENDING_OWNER_ELIGIBILITY_APPROVAL</x:v>
      </x:c>
      <x:c r="M282" s="98" t="b">
        <x:f>IF(E282="EOA_CANDIDATE",I282&gt;='Decision Summary'!$B$11,FALSE)</x:f>
        <x:v>0</x:v>
      </x:c>
      <x:c r="N282" s="98" t="str">
        <x:f>IF(M282,"DRAFT INCLUDE","HOLD / EXCLUDE")</x:f>
        <x:v>HOLD / EXCLUDE</x:v>
      </x:c>
      <x:c r="O282" s="101" t="str">
        <x:f>IF(M282,C282,"")</x:f>
      </x:c>
      <x:c r="P282" s="98" t="str">
        <x:f>IF(N282="DRAFT INCLUDE",ROUNDUP(COUNTIF($N$6:N282,"DRAFT INCLUDE")/'Decision Summary'!$B$12,0),"")</x:f>
      </x:c>
      <x:c r="Q282" s="98" t="str">
        <x:f>IF(N282="DRAFT INCLUDE",MOD(COUNTIF($N$6:N282,"DRAFT INCLUDE")-1,'Decision Summary'!$B$12)+1,"")</x:f>
      </x:c>
      <x:c r="R282" s="98" t="str">
        <x:v>PENDING</x:v>
      </x:c>
      <x:c r="S282" s="98" t="str"/>
      <x:c r="T282" s="98" t="str">
        <x:v>Ordinary EOA candidate; inclusion still depends on V1 deprecation, threshold policy and owner approval.</x:v>
      </x:c>
      <x:c r="U282" s="89" t="str">
        <x:v>https://etherscan.io/token/0x445d03f499f1c150615957bb87588fb465fc91cc#balances</x:v>
      </x:c>
      <x:c r="V282" s="89" t="b">
        <x:f>COUNTIF($C$6:$C$502,C282)&gt;1</x:f>
        <x:v>0</x:v>
      </x:c>
    </x:row>
    <x:row r="283">
      <x:c r="A283" s="89" t="n">
        <x:v>278</x:v>
      </x:c>
      <x:c r="B283" s="89" t="str">
        <x:v>v1-mainnet-0278</x:v>
      </x:c>
      <x:c r="C283" s="90" t="str">
        <x:v>0xb8a26219acc2477f73faa1cd1276ba4fa90ef22e</x:v>
      </x:c>
      <x:c r="D283" s="98" t="str"/>
      <x:c r="E283" s="98" t="str">
        <x:v>EOA_CANDIDATE</x:v>
      </x:c>
      <x:c r="F283" s="91" t="b">
        <x:v>0</x:v>
      </x:c>
      <x:c r="G283" s="89" t="n">
        <x:v>0</x:v>
      </x:c>
      <x:c r="H283" s="90" t="str">
        <x:v>6611400000000</x:v>
      </x:c>
      <x:c r="I283" s="92" t="n">
        <x:v>6.6114</x:v>
      </x:c>
      <x:c r="J283" s="92" t="str">
        <x:v>6611400000000000000</x:v>
      </x:c>
      <x:c r="K283" s="92" t="n">
        <x:v>6.6114</x:v>
      </x:c>
      <x:c r="L283" s="98" t="str">
        <x:v>PENDING_OWNER_ELIGIBILITY_APPROVAL</x:v>
      </x:c>
      <x:c r="M283" s="98" t="b">
        <x:f>IF(E283="EOA_CANDIDATE",I283&gt;='Decision Summary'!$B$11,FALSE)</x:f>
        <x:v>0</x:v>
      </x:c>
      <x:c r="N283" s="98" t="str">
        <x:f>IF(M283,"DRAFT INCLUDE","HOLD / EXCLUDE")</x:f>
        <x:v>HOLD / EXCLUDE</x:v>
      </x:c>
      <x:c r="O283" s="101" t="str">
        <x:f>IF(M283,C283,"")</x:f>
      </x:c>
      <x:c r="P283" s="98" t="str">
        <x:f>IF(N283="DRAFT INCLUDE",ROUNDUP(COUNTIF($N$6:N283,"DRAFT INCLUDE")/'Decision Summary'!$B$12,0),"")</x:f>
      </x:c>
      <x:c r="Q283" s="98" t="str">
        <x:f>IF(N283="DRAFT INCLUDE",MOD(COUNTIF($N$6:N283,"DRAFT INCLUDE")-1,'Decision Summary'!$B$12)+1,"")</x:f>
      </x:c>
      <x:c r="R283" s="98" t="str">
        <x:v>PENDING</x:v>
      </x:c>
      <x:c r="S283" s="98" t="str"/>
      <x:c r="T283" s="98" t="str">
        <x:v>Ordinary EOA candidate; inclusion still depends on V1 deprecation, threshold policy and owner approval.</x:v>
      </x:c>
      <x:c r="U283" s="89" t="str">
        <x:v>https://etherscan.io/token/0x445d03f499f1c150615957bb87588fb465fc91cc#balances</x:v>
      </x:c>
      <x:c r="V283" s="89" t="b">
        <x:f>COUNTIF($C$6:$C$502,C283)&gt;1</x:f>
        <x:v>0</x:v>
      </x:c>
    </x:row>
    <x:row r="284">
      <x:c r="A284" s="89" t="n">
        <x:v>279</x:v>
      </x:c>
      <x:c r="B284" s="89" t="str">
        <x:v>v1-mainnet-0279</x:v>
      </x:c>
      <x:c r="C284" s="90" t="str">
        <x:v>0x37e1efb3ace4564f40c28f72d9392714e24be6ab</x:v>
      </x:c>
      <x:c r="D284" s="98" t="str"/>
      <x:c r="E284" s="98" t="str">
        <x:v>EOA_CANDIDATE</x:v>
      </x:c>
      <x:c r="F284" s="91" t="b">
        <x:v>0</x:v>
      </x:c>
      <x:c r="G284" s="89" t="n">
        <x:v>0</x:v>
      </x:c>
      <x:c r="H284" s="90" t="str">
        <x:v>6607200000000</x:v>
      </x:c>
      <x:c r="I284" s="92" t="n">
        <x:v>6.6072</x:v>
      </x:c>
      <x:c r="J284" s="92" t="str">
        <x:v>6607200000000000000</x:v>
      </x:c>
      <x:c r="K284" s="92" t="n">
        <x:v>6.6072</x:v>
      </x:c>
      <x:c r="L284" s="98" t="str">
        <x:v>PENDING_OWNER_ELIGIBILITY_APPROVAL</x:v>
      </x:c>
      <x:c r="M284" s="98" t="b">
        <x:f>IF(E284="EOA_CANDIDATE",I284&gt;='Decision Summary'!$B$11,FALSE)</x:f>
        <x:v>0</x:v>
      </x:c>
      <x:c r="N284" s="98" t="str">
        <x:f>IF(M284,"DRAFT INCLUDE","HOLD / EXCLUDE")</x:f>
        <x:v>HOLD / EXCLUDE</x:v>
      </x:c>
      <x:c r="O284" s="101" t="str">
        <x:f>IF(M284,C284,"")</x:f>
      </x:c>
      <x:c r="P284" s="98" t="str">
        <x:f>IF(N284="DRAFT INCLUDE",ROUNDUP(COUNTIF($N$6:N284,"DRAFT INCLUDE")/'Decision Summary'!$B$12,0),"")</x:f>
      </x:c>
      <x:c r="Q284" s="98" t="str">
        <x:f>IF(N284="DRAFT INCLUDE",MOD(COUNTIF($N$6:N284,"DRAFT INCLUDE")-1,'Decision Summary'!$B$12)+1,"")</x:f>
      </x:c>
      <x:c r="R284" s="98" t="str">
        <x:v>PENDING</x:v>
      </x:c>
      <x:c r="S284" s="98" t="str"/>
      <x:c r="T284" s="98" t="str">
        <x:v>Ordinary EOA candidate; inclusion still depends on V1 deprecation, threshold policy and owner approval.</x:v>
      </x:c>
      <x:c r="U284" s="89" t="str">
        <x:v>https://etherscan.io/token/0x445d03f499f1c150615957bb87588fb465fc91cc#balances</x:v>
      </x:c>
      <x:c r="V284" s="89" t="b">
        <x:f>COUNTIF($C$6:$C$502,C284)&gt;1</x:f>
        <x:v>0</x:v>
      </x:c>
    </x:row>
    <x:row r="285">
      <x:c r="A285" s="89" t="n">
        <x:v>280</x:v>
      </x:c>
      <x:c r="B285" s="89" t="str">
        <x:v>v1-mainnet-0280</x:v>
      </x:c>
      <x:c r="C285" s="90" t="str">
        <x:v>0xf4c570e611345d4c73380abd042f15def7e64f16</x:v>
      </x:c>
      <x:c r="D285" s="98" t="str"/>
      <x:c r="E285" s="98" t="str">
        <x:v>EOA_CANDIDATE</x:v>
      </x:c>
      <x:c r="F285" s="91" t="b">
        <x:v>0</x:v>
      </x:c>
      <x:c r="G285" s="89" t="n">
        <x:v>0</x:v>
      </x:c>
      <x:c r="H285" s="90" t="str">
        <x:v>6603800000000</x:v>
      </x:c>
      <x:c r="I285" s="92" t="n">
        <x:v>6.6038</x:v>
      </x:c>
      <x:c r="J285" s="92" t="str">
        <x:v>6603800000000000000</x:v>
      </x:c>
      <x:c r="K285" s="92" t="n">
        <x:v>6.6038</x:v>
      </x:c>
      <x:c r="L285" s="98" t="str">
        <x:v>PENDING_OWNER_ELIGIBILITY_APPROVAL</x:v>
      </x:c>
      <x:c r="M285" s="98" t="b">
        <x:f>IF(E285="EOA_CANDIDATE",I285&gt;='Decision Summary'!$B$11,FALSE)</x:f>
        <x:v>0</x:v>
      </x:c>
      <x:c r="N285" s="98" t="str">
        <x:f>IF(M285,"DRAFT INCLUDE","HOLD / EXCLUDE")</x:f>
        <x:v>HOLD / EXCLUDE</x:v>
      </x:c>
      <x:c r="O285" s="101" t="str">
        <x:f>IF(M285,C285,"")</x:f>
      </x:c>
      <x:c r="P285" s="98" t="str">
        <x:f>IF(N285="DRAFT INCLUDE",ROUNDUP(COUNTIF($N$6:N285,"DRAFT INCLUDE")/'Decision Summary'!$B$12,0),"")</x:f>
      </x:c>
      <x:c r="Q285" s="98" t="str">
        <x:f>IF(N285="DRAFT INCLUDE",MOD(COUNTIF($N$6:N285,"DRAFT INCLUDE")-1,'Decision Summary'!$B$12)+1,"")</x:f>
      </x:c>
      <x:c r="R285" s="98" t="str">
        <x:v>PENDING</x:v>
      </x:c>
      <x:c r="S285" s="98" t="str"/>
      <x:c r="T285" s="98" t="str">
        <x:v>Ordinary EOA candidate; inclusion still depends on V1 deprecation, threshold policy and owner approval.</x:v>
      </x:c>
      <x:c r="U285" s="89" t="str">
        <x:v>https://etherscan.io/token/0x445d03f499f1c150615957bb87588fb465fc91cc#balances</x:v>
      </x:c>
      <x:c r="V285" s="89" t="b">
        <x:f>COUNTIF($C$6:$C$502,C285)&gt;1</x:f>
        <x:v>0</x:v>
      </x:c>
    </x:row>
    <x:row r="286">
      <x:c r="A286" s="89" t="n">
        <x:v>281</x:v>
      </x:c>
      <x:c r="B286" s="89" t="str">
        <x:v>v1-mainnet-0281</x:v>
      </x:c>
      <x:c r="C286" s="90" t="str">
        <x:v>0x24e65fddfabf8a248285978acb706469bf744dab</x:v>
      </x:c>
      <x:c r="D286" s="98" t="str"/>
      <x:c r="E286" s="98" t="str">
        <x:v>EOA_CANDIDATE</x:v>
      </x:c>
      <x:c r="F286" s="91" t="b">
        <x:v>0</x:v>
      </x:c>
      <x:c r="G286" s="89" t="n">
        <x:v>0</x:v>
      </x:c>
      <x:c r="H286" s="90" t="str">
        <x:v>6580700000000</x:v>
      </x:c>
      <x:c r="I286" s="92" t="n">
        <x:v>6.5807</x:v>
      </x:c>
      <x:c r="J286" s="92" t="str">
        <x:v>6580700000000000000</x:v>
      </x:c>
      <x:c r="K286" s="92" t="n">
        <x:v>6.5807</x:v>
      </x:c>
      <x:c r="L286" s="98" t="str">
        <x:v>PENDING_OWNER_ELIGIBILITY_APPROVAL</x:v>
      </x:c>
      <x:c r="M286" s="98" t="b">
        <x:f>IF(E286="EOA_CANDIDATE",I286&gt;='Decision Summary'!$B$11,FALSE)</x:f>
        <x:v>0</x:v>
      </x:c>
      <x:c r="N286" s="98" t="str">
        <x:f>IF(M286,"DRAFT INCLUDE","HOLD / EXCLUDE")</x:f>
        <x:v>HOLD / EXCLUDE</x:v>
      </x:c>
      <x:c r="O286" s="101" t="str">
        <x:f>IF(M286,C286,"")</x:f>
      </x:c>
      <x:c r="P286" s="98" t="str">
        <x:f>IF(N286="DRAFT INCLUDE",ROUNDUP(COUNTIF($N$6:N286,"DRAFT INCLUDE")/'Decision Summary'!$B$12,0),"")</x:f>
      </x:c>
      <x:c r="Q286" s="98" t="str">
        <x:f>IF(N286="DRAFT INCLUDE",MOD(COUNTIF($N$6:N286,"DRAFT INCLUDE")-1,'Decision Summary'!$B$12)+1,"")</x:f>
      </x:c>
      <x:c r="R286" s="98" t="str">
        <x:v>PENDING</x:v>
      </x:c>
      <x:c r="S286" s="98" t="str"/>
      <x:c r="T286" s="98" t="str">
        <x:v>Ordinary EOA candidate; inclusion still depends on V1 deprecation, threshold policy and owner approval.</x:v>
      </x:c>
      <x:c r="U286" s="89" t="str">
        <x:v>https://etherscan.io/token/0x445d03f499f1c150615957bb87588fb465fc91cc#balances</x:v>
      </x:c>
      <x:c r="V286" s="89" t="b">
        <x:f>COUNTIF($C$6:$C$502,C286)&gt;1</x:f>
        <x:v>0</x:v>
      </x:c>
    </x:row>
    <x:row r="287">
      <x:c r="A287" s="89" t="n">
        <x:v>282</x:v>
      </x:c>
      <x:c r="B287" s="89" t="str">
        <x:v>v1-mainnet-0282</x:v>
      </x:c>
      <x:c r="C287" s="90" t="str">
        <x:v>0x77008a01c4dae89617270499ed06bb3bf02a29ea</x:v>
      </x:c>
      <x:c r="D287" s="98" t="str"/>
      <x:c r="E287" s="98" t="str">
        <x:v>EOA_CANDIDATE</x:v>
      </x:c>
      <x:c r="F287" s="91" t="b">
        <x:v>0</x:v>
      </x:c>
      <x:c r="G287" s="89" t="n">
        <x:v>0</x:v>
      </x:c>
      <x:c r="H287" s="90" t="str">
        <x:v>6577100000000</x:v>
      </x:c>
      <x:c r="I287" s="92" t="n">
        <x:v>6.5771</x:v>
      </x:c>
      <x:c r="J287" s="92" t="str">
        <x:v>6577100000000000000</x:v>
      </x:c>
      <x:c r="K287" s="92" t="n">
        <x:v>6.5771</x:v>
      </x:c>
      <x:c r="L287" s="98" t="str">
        <x:v>PENDING_OWNER_ELIGIBILITY_APPROVAL</x:v>
      </x:c>
      <x:c r="M287" s="98" t="b">
        <x:f>IF(E287="EOA_CANDIDATE",I287&gt;='Decision Summary'!$B$11,FALSE)</x:f>
        <x:v>0</x:v>
      </x:c>
      <x:c r="N287" s="98" t="str">
        <x:f>IF(M287,"DRAFT INCLUDE","HOLD / EXCLUDE")</x:f>
        <x:v>HOLD / EXCLUDE</x:v>
      </x:c>
      <x:c r="O287" s="101" t="str">
        <x:f>IF(M287,C287,"")</x:f>
      </x:c>
      <x:c r="P287" s="98" t="str">
        <x:f>IF(N287="DRAFT INCLUDE",ROUNDUP(COUNTIF($N$6:N287,"DRAFT INCLUDE")/'Decision Summary'!$B$12,0),"")</x:f>
      </x:c>
      <x:c r="Q287" s="98" t="str">
        <x:f>IF(N287="DRAFT INCLUDE",MOD(COUNTIF($N$6:N287,"DRAFT INCLUDE")-1,'Decision Summary'!$B$12)+1,"")</x:f>
      </x:c>
      <x:c r="R287" s="98" t="str">
        <x:v>PENDING</x:v>
      </x:c>
      <x:c r="S287" s="98" t="str"/>
      <x:c r="T287" s="98" t="str">
        <x:v>Ordinary EOA candidate; inclusion still depends on V1 deprecation, threshold policy and owner approval.</x:v>
      </x:c>
      <x:c r="U287" s="89" t="str">
        <x:v>https://etherscan.io/token/0x445d03f499f1c150615957bb87588fb465fc91cc#balances</x:v>
      </x:c>
      <x:c r="V287" s="89" t="b">
        <x:f>COUNTIF($C$6:$C$502,C287)&gt;1</x:f>
        <x:v>0</x:v>
      </x:c>
    </x:row>
    <x:row r="288">
      <x:c r="A288" s="89" t="n">
        <x:v>283</x:v>
      </x:c>
      <x:c r="B288" s="89" t="str">
        <x:v>v1-mainnet-0283</x:v>
      </x:c>
      <x:c r="C288" s="90" t="str">
        <x:v>0x75b53dc311600c49ccf4854199505ee7b9011524</x:v>
      </x:c>
      <x:c r="D288" s="98" t="str"/>
      <x:c r="E288" s="98" t="str">
        <x:v>EOA_CANDIDATE</x:v>
      </x:c>
      <x:c r="F288" s="91" t="b">
        <x:v>0</x:v>
      </x:c>
      <x:c r="G288" s="89" t="n">
        <x:v>0</x:v>
      </x:c>
      <x:c r="H288" s="90" t="str">
        <x:v>6566400000000</x:v>
      </x:c>
      <x:c r="I288" s="92" t="n">
        <x:v>6.5664</x:v>
      </x:c>
      <x:c r="J288" s="92" t="str">
        <x:v>6566400000000000000</x:v>
      </x:c>
      <x:c r="K288" s="92" t="n">
        <x:v>6.5664</x:v>
      </x:c>
      <x:c r="L288" s="98" t="str">
        <x:v>PENDING_OWNER_ELIGIBILITY_APPROVAL</x:v>
      </x:c>
      <x:c r="M288" s="98" t="b">
        <x:f>IF(E288="EOA_CANDIDATE",I288&gt;='Decision Summary'!$B$11,FALSE)</x:f>
        <x:v>0</x:v>
      </x:c>
      <x:c r="N288" s="98" t="str">
        <x:f>IF(M288,"DRAFT INCLUDE","HOLD / EXCLUDE")</x:f>
        <x:v>HOLD / EXCLUDE</x:v>
      </x:c>
      <x:c r="O288" s="101" t="str">
        <x:f>IF(M288,C288,"")</x:f>
      </x:c>
      <x:c r="P288" s="98" t="str">
        <x:f>IF(N288="DRAFT INCLUDE",ROUNDUP(COUNTIF($N$6:N288,"DRAFT INCLUDE")/'Decision Summary'!$B$12,0),"")</x:f>
      </x:c>
      <x:c r="Q288" s="98" t="str">
        <x:f>IF(N288="DRAFT INCLUDE",MOD(COUNTIF($N$6:N288,"DRAFT INCLUDE")-1,'Decision Summary'!$B$12)+1,"")</x:f>
      </x:c>
      <x:c r="R288" s="98" t="str">
        <x:v>PENDING</x:v>
      </x:c>
      <x:c r="S288" s="98" t="str"/>
      <x:c r="T288" s="98" t="str">
        <x:v>Ordinary EOA candidate; inclusion still depends on V1 deprecation, threshold policy and owner approval.</x:v>
      </x:c>
      <x:c r="U288" s="89" t="str">
        <x:v>https://etherscan.io/token/0x445d03f499f1c150615957bb87588fb465fc91cc#balances</x:v>
      </x:c>
      <x:c r="V288" s="89" t="b">
        <x:f>COUNTIF($C$6:$C$502,C288)&gt;1</x:f>
        <x:v>0</x:v>
      </x:c>
    </x:row>
    <x:row r="289">
      <x:c r="A289" s="89" t="n">
        <x:v>284</x:v>
      </x:c>
      <x:c r="B289" s="89" t="str">
        <x:v>v1-mainnet-0284</x:v>
      </x:c>
      <x:c r="C289" s="90" t="str">
        <x:v>0x95e9690dc4ffdf4042c865acb6fd36a86d34d2ac</x:v>
      </x:c>
      <x:c r="D289" s="98" t="str"/>
      <x:c r="E289" s="98" t="str">
        <x:v>EOA_CANDIDATE</x:v>
      </x:c>
      <x:c r="F289" s="91" t="b">
        <x:v>0</x:v>
      </x:c>
      <x:c r="G289" s="89" t="n">
        <x:v>0</x:v>
      </x:c>
      <x:c r="H289" s="90" t="str">
        <x:v>6519300000000</x:v>
      </x:c>
      <x:c r="I289" s="92" t="n">
        <x:v>6.5193</x:v>
      </x:c>
      <x:c r="J289" s="92" t="str">
        <x:v>6519300000000000000</x:v>
      </x:c>
      <x:c r="K289" s="92" t="n">
        <x:v>6.5193</x:v>
      </x:c>
      <x:c r="L289" s="98" t="str">
        <x:v>PENDING_OWNER_ELIGIBILITY_APPROVAL</x:v>
      </x:c>
      <x:c r="M289" s="98" t="b">
        <x:f>IF(E289="EOA_CANDIDATE",I289&gt;='Decision Summary'!$B$11,FALSE)</x:f>
        <x:v>0</x:v>
      </x:c>
      <x:c r="N289" s="98" t="str">
        <x:f>IF(M289,"DRAFT INCLUDE","HOLD / EXCLUDE")</x:f>
        <x:v>HOLD / EXCLUDE</x:v>
      </x:c>
      <x:c r="O289" s="101" t="str">
        <x:f>IF(M289,C289,"")</x:f>
      </x:c>
      <x:c r="P289" s="98" t="str">
        <x:f>IF(N289="DRAFT INCLUDE",ROUNDUP(COUNTIF($N$6:N289,"DRAFT INCLUDE")/'Decision Summary'!$B$12,0),"")</x:f>
      </x:c>
      <x:c r="Q289" s="98" t="str">
        <x:f>IF(N289="DRAFT INCLUDE",MOD(COUNTIF($N$6:N289,"DRAFT INCLUDE")-1,'Decision Summary'!$B$12)+1,"")</x:f>
      </x:c>
      <x:c r="R289" s="98" t="str">
        <x:v>PENDING</x:v>
      </x:c>
      <x:c r="S289" s="98" t="str"/>
      <x:c r="T289" s="98" t="str">
        <x:v>Ordinary EOA candidate; inclusion still depends on V1 deprecation, threshold policy and owner approval.</x:v>
      </x:c>
      <x:c r="U289" s="89" t="str">
        <x:v>https://etherscan.io/token/0x445d03f499f1c150615957bb87588fb465fc91cc#balances</x:v>
      </x:c>
      <x:c r="V289" s="89" t="b">
        <x:f>COUNTIF($C$6:$C$502,C289)&gt;1</x:f>
        <x:v>0</x:v>
      </x:c>
    </x:row>
    <x:row r="290">
      <x:c r="A290" s="89" t="n">
        <x:v>285</x:v>
      </x:c>
      <x:c r="B290" s="89" t="str">
        <x:v>v1-mainnet-0285</x:v>
      </x:c>
      <x:c r="C290" s="90" t="str">
        <x:v>0x08c6c0d034d85f364157da10be11cfa894723181</x:v>
      </x:c>
      <x:c r="D290" s="98" t="str"/>
      <x:c r="E290" s="98" t="str">
        <x:v>EOA_CANDIDATE</x:v>
      </x:c>
      <x:c r="F290" s="91" t="b">
        <x:v>0</x:v>
      </x:c>
      <x:c r="G290" s="89" t="n">
        <x:v>0</x:v>
      </x:c>
      <x:c r="H290" s="90" t="str">
        <x:v>6504200000000</x:v>
      </x:c>
      <x:c r="I290" s="92" t="n">
        <x:v>6.5042</x:v>
      </x:c>
      <x:c r="J290" s="92" t="str">
        <x:v>6504200000000000000</x:v>
      </x:c>
      <x:c r="K290" s="92" t="n">
        <x:v>6.5042</x:v>
      </x:c>
      <x:c r="L290" s="98" t="str">
        <x:v>PENDING_OWNER_ELIGIBILITY_APPROVAL</x:v>
      </x:c>
      <x:c r="M290" s="98" t="b">
        <x:f>IF(E290="EOA_CANDIDATE",I290&gt;='Decision Summary'!$B$11,FALSE)</x:f>
        <x:v>0</x:v>
      </x:c>
      <x:c r="N290" s="98" t="str">
        <x:f>IF(M290,"DRAFT INCLUDE","HOLD / EXCLUDE")</x:f>
        <x:v>HOLD / EXCLUDE</x:v>
      </x:c>
      <x:c r="O290" s="101" t="str">
        <x:f>IF(M290,C290,"")</x:f>
      </x:c>
      <x:c r="P290" s="98" t="str">
        <x:f>IF(N290="DRAFT INCLUDE",ROUNDUP(COUNTIF($N$6:N290,"DRAFT INCLUDE")/'Decision Summary'!$B$12,0),"")</x:f>
      </x:c>
      <x:c r="Q290" s="98" t="str">
        <x:f>IF(N290="DRAFT INCLUDE",MOD(COUNTIF($N$6:N290,"DRAFT INCLUDE")-1,'Decision Summary'!$B$12)+1,"")</x:f>
      </x:c>
      <x:c r="R290" s="98" t="str">
        <x:v>PENDING</x:v>
      </x:c>
      <x:c r="S290" s="98" t="str"/>
      <x:c r="T290" s="98" t="str">
        <x:v>Ordinary EOA candidate; inclusion still depends on V1 deprecation, threshold policy and owner approval.</x:v>
      </x:c>
      <x:c r="U290" s="89" t="str">
        <x:v>https://etherscan.io/token/0x445d03f499f1c150615957bb87588fb465fc91cc#balances</x:v>
      </x:c>
      <x:c r="V290" s="89" t="b">
        <x:f>COUNTIF($C$6:$C$502,C290)&gt;1</x:f>
        <x:v>0</x:v>
      </x:c>
    </x:row>
    <x:row r="291">
      <x:c r="A291" s="89" t="n">
        <x:v>286</x:v>
      </x:c>
      <x:c r="B291" s="89" t="str">
        <x:v>v1-mainnet-0286</x:v>
      </x:c>
      <x:c r="C291" s="90" t="str">
        <x:v>0x241e5147399ed1daff8b3a98efa02142bcccb44f</x:v>
      </x:c>
      <x:c r="D291" s="98" t="str"/>
      <x:c r="E291" s="98" t="str">
        <x:v>EOA_CANDIDATE</x:v>
      </x:c>
      <x:c r="F291" s="91" t="b">
        <x:v>0</x:v>
      </x:c>
      <x:c r="G291" s="89" t="n">
        <x:v>0</x:v>
      </x:c>
      <x:c r="H291" s="90" t="str">
        <x:v>6492200000000</x:v>
      </x:c>
      <x:c r="I291" s="92" t="n">
        <x:v>6.4922</x:v>
      </x:c>
      <x:c r="J291" s="92" t="str">
        <x:v>6492200000000000000</x:v>
      </x:c>
      <x:c r="K291" s="92" t="n">
        <x:v>6.4922</x:v>
      </x:c>
      <x:c r="L291" s="98" t="str">
        <x:v>PENDING_OWNER_ELIGIBILITY_APPROVAL</x:v>
      </x:c>
      <x:c r="M291" s="98" t="b">
        <x:f>IF(E291="EOA_CANDIDATE",I291&gt;='Decision Summary'!$B$11,FALSE)</x:f>
        <x:v>0</x:v>
      </x:c>
      <x:c r="N291" s="98" t="str">
        <x:f>IF(M291,"DRAFT INCLUDE","HOLD / EXCLUDE")</x:f>
        <x:v>HOLD / EXCLUDE</x:v>
      </x:c>
      <x:c r="O291" s="101" t="str">
        <x:f>IF(M291,C291,"")</x:f>
      </x:c>
      <x:c r="P291" s="98" t="str">
        <x:f>IF(N291="DRAFT INCLUDE",ROUNDUP(COUNTIF($N$6:N291,"DRAFT INCLUDE")/'Decision Summary'!$B$12,0),"")</x:f>
      </x:c>
      <x:c r="Q291" s="98" t="str">
        <x:f>IF(N291="DRAFT INCLUDE",MOD(COUNTIF($N$6:N291,"DRAFT INCLUDE")-1,'Decision Summary'!$B$12)+1,"")</x:f>
      </x:c>
      <x:c r="R291" s="98" t="str">
        <x:v>PENDING</x:v>
      </x:c>
      <x:c r="S291" s="98" t="str"/>
      <x:c r="T291" s="98" t="str">
        <x:v>Ordinary EOA candidate; inclusion still depends on V1 deprecation, threshold policy and owner approval.</x:v>
      </x:c>
      <x:c r="U291" s="89" t="str">
        <x:v>https://etherscan.io/token/0x445d03f499f1c150615957bb87588fb465fc91cc#balances</x:v>
      </x:c>
      <x:c r="V291" s="89" t="b">
        <x:f>COUNTIF($C$6:$C$502,C291)&gt;1</x:f>
        <x:v>0</x:v>
      </x:c>
    </x:row>
    <x:row r="292">
      <x:c r="A292" s="89" t="n">
        <x:v>287</x:v>
      </x:c>
      <x:c r="B292" s="89" t="str">
        <x:v>v1-mainnet-0287</x:v>
      </x:c>
      <x:c r="C292" s="90" t="str">
        <x:v>0xb38649ead283434205d5f08428d6aab34dbd96fe</x:v>
      </x:c>
      <x:c r="D292" s="98" t="str"/>
      <x:c r="E292" s="98" t="str">
        <x:v>EOA_CANDIDATE</x:v>
      </x:c>
      <x:c r="F292" s="91" t="b">
        <x:v>0</x:v>
      </x:c>
      <x:c r="G292" s="89" t="n">
        <x:v>0</x:v>
      </x:c>
      <x:c r="H292" s="90" t="str">
        <x:v>6438500000000</x:v>
      </x:c>
      <x:c r="I292" s="92" t="n">
        <x:v>6.4385</x:v>
      </x:c>
      <x:c r="J292" s="92" t="str">
        <x:v>6438500000000000000</x:v>
      </x:c>
      <x:c r="K292" s="92" t="n">
        <x:v>6.4385</x:v>
      </x:c>
      <x:c r="L292" s="98" t="str">
        <x:v>PENDING_OWNER_ELIGIBILITY_APPROVAL</x:v>
      </x:c>
      <x:c r="M292" s="98" t="b">
        <x:f>IF(E292="EOA_CANDIDATE",I292&gt;='Decision Summary'!$B$11,FALSE)</x:f>
        <x:v>0</x:v>
      </x:c>
      <x:c r="N292" s="98" t="str">
        <x:f>IF(M292,"DRAFT INCLUDE","HOLD / EXCLUDE")</x:f>
        <x:v>HOLD / EXCLUDE</x:v>
      </x:c>
      <x:c r="O292" s="101" t="str">
        <x:f>IF(M292,C292,"")</x:f>
      </x:c>
      <x:c r="P292" s="98" t="str">
        <x:f>IF(N292="DRAFT INCLUDE",ROUNDUP(COUNTIF($N$6:N292,"DRAFT INCLUDE")/'Decision Summary'!$B$12,0),"")</x:f>
      </x:c>
      <x:c r="Q292" s="98" t="str">
        <x:f>IF(N292="DRAFT INCLUDE",MOD(COUNTIF($N$6:N292,"DRAFT INCLUDE")-1,'Decision Summary'!$B$12)+1,"")</x:f>
      </x:c>
      <x:c r="R292" s="98" t="str">
        <x:v>PENDING</x:v>
      </x:c>
      <x:c r="S292" s="98" t="str"/>
      <x:c r="T292" s="98" t="str">
        <x:v>Ordinary EOA candidate; inclusion still depends on V1 deprecation, threshold policy and owner approval.</x:v>
      </x:c>
      <x:c r="U292" s="89" t="str">
        <x:v>https://etherscan.io/token/0x445d03f499f1c150615957bb87588fb465fc91cc#balances</x:v>
      </x:c>
      <x:c r="V292" s="89" t="b">
        <x:f>COUNTIF($C$6:$C$502,C292)&gt;1</x:f>
        <x:v>0</x:v>
      </x:c>
    </x:row>
    <x:row r="293">
      <x:c r="A293" s="89" t="n">
        <x:v>288</x:v>
      </x:c>
      <x:c r="B293" s="89" t="str">
        <x:v>v1-mainnet-0288</x:v>
      </x:c>
      <x:c r="C293" s="90" t="str">
        <x:v>0x53a27da203031a92cf72568485099fe1ea42d4eb</x:v>
      </x:c>
      <x:c r="D293" s="98" t="str"/>
      <x:c r="E293" s="98" t="str">
        <x:v>EOA_CANDIDATE</x:v>
      </x:c>
      <x:c r="F293" s="91" t="b">
        <x:v>0</x:v>
      </x:c>
      <x:c r="G293" s="89" t="n">
        <x:v>0</x:v>
      </x:c>
      <x:c r="H293" s="90" t="str">
        <x:v>6396400000000</x:v>
      </x:c>
      <x:c r="I293" s="92" t="n">
        <x:v>6.3964</x:v>
      </x:c>
      <x:c r="J293" s="92" t="str">
        <x:v>6396400000000000000</x:v>
      </x:c>
      <x:c r="K293" s="92" t="n">
        <x:v>6.3964</x:v>
      </x:c>
      <x:c r="L293" s="98" t="str">
        <x:v>PENDING_OWNER_ELIGIBILITY_APPROVAL</x:v>
      </x:c>
      <x:c r="M293" s="98" t="b">
        <x:f>IF(E293="EOA_CANDIDATE",I293&gt;='Decision Summary'!$B$11,FALSE)</x:f>
        <x:v>0</x:v>
      </x:c>
      <x:c r="N293" s="98" t="str">
        <x:f>IF(M293,"DRAFT INCLUDE","HOLD / EXCLUDE")</x:f>
        <x:v>HOLD / EXCLUDE</x:v>
      </x:c>
      <x:c r="O293" s="101" t="str">
        <x:f>IF(M293,C293,"")</x:f>
      </x:c>
      <x:c r="P293" s="98" t="str">
        <x:f>IF(N293="DRAFT INCLUDE",ROUNDUP(COUNTIF($N$6:N293,"DRAFT INCLUDE")/'Decision Summary'!$B$12,0),"")</x:f>
      </x:c>
      <x:c r="Q293" s="98" t="str">
        <x:f>IF(N293="DRAFT INCLUDE",MOD(COUNTIF($N$6:N293,"DRAFT INCLUDE")-1,'Decision Summary'!$B$12)+1,"")</x:f>
      </x:c>
      <x:c r="R293" s="98" t="str">
        <x:v>PENDING</x:v>
      </x:c>
      <x:c r="S293" s="98" t="str"/>
      <x:c r="T293" s="98" t="str">
        <x:v>Ordinary EOA candidate; inclusion still depends on V1 deprecation, threshold policy and owner approval.</x:v>
      </x:c>
      <x:c r="U293" s="89" t="str">
        <x:v>https://etherscan.io/token/0x445d03f499f1c150615957bb87588fb465fc91cc#balances</x:v>
      </x:c>
      <x:c r="V293" s="89" t="b">
        <x:f>COUNTIF($C$6:$C$502,C293)&gt;1</x:f>
        <x:v>0</x:v>
      </x:c>
    </x:row>
    <x:row r="294">
      <x:c r="A294" s="89" t="n">
        <x:v>289</x:v>
      </x:c>
      <x:c r="B294" s="89" t="str">
        <x:v>v1-mainnet-0289</x:v>
      </x:c>
      <x:c r="C294" s="90" t="str">
        <x:v>0xb9f0768ef913d8cd6f6ae654916fcb2a820e185d</x:v>
      </x:c>
      <x:c r="D294" s="98" t="str"/>
      <x:c r="E294" s="98" t="str">
        <x:v>EOA_CANDIDATE</x:v>
      </x:c>
      <x:c r="F294" s="91" t="b">
        <x:v>0</x:v>
      </x:c>
      <x:c r="G294" s="89" t="n">
        <x:v>0</x:v>
      </x:c>
      <x:c r="H294" s="90" t="str">
        <x:v>6380600000000</x:v>
      </x:c>
      <x:c r="I294" s="92" t="n">
        <x:v>6.3806</x:v>
      </x:c>
      <x:c r="J294" s="92" t="str">
        <x:v>6380600000000000000</x:v>
      </x:c>
      <x:c r="K294" s="92" t="n">
        <x:v>6.3806</x:v>
      </x:c>
      <x:c r="L294" s="98" t="str">
        <x:v>PENDING_OWNER_ELIGIBILITY_APPROVAL</x:v>
      </x:c>
      <x:c r="M294" s="98" t="b">
        <x:f>IF(E294="EOA_CANDIDATE",I294&gt;='Decision Summary'!$B$11,FALSE)</x:f>
        <x:v>0</x:v>
      </x:c>
      <x:c r="N294" s="98" t="str">
        <x:f>IF(M294,"DRAFT INCLUDE","HOLD / EXCLUDE")</x:f>
        <x:v>HOLD / EXCLUDE</x:v>
      </x:c>
      <x:c r="O294" s="101" t="str">
        <x:f>IF(M294,C294,"")</x:f>
      </x:c>
      <x:c r="P294" s="98" t="str">
        <x:f>IF(N294="DRAFT INCLUDE",ROUNDUP(COUNTIF($N$6:N294,"DRAFT INCLUDE")/'Decision Summary'!$B$12,0),"")</x:f>
      </x:c>
      <x:c r="Q294" s="98" t="str">
        <x:f>IF(N294="DRAFT INCLUDE",MOD(COUNTIF($N$6:N294,"DRAFT INCLUDE")-1,'Decision Summary'!$B$12)+1,"")</x:f>
      </x:c>
      <x:c r="R294" s="98" t="str">
        <x:v>PENDING</x:v>
      </x:c>
      <x:c r="S294" s="98" t="str"/>
      <x:c r="T294" s="98" t="str">
        <x:v>Ordinary EOA candidate; inclusion still depends on V1 deprecation, threshold policy and owner approval.</x:v>
      </x:c>
      <x:c r="U294" s="89" t="str">
        <x:v>https://etherscan.io/token/0x445d03f499f1c150615957bb87588fb465fc91cc#balances</x:v>
      </x:c>
      <x:c r="V294" s="89" t="b">
        <x:f>COUNTIF($C$6:$C$502,C294)&gt;1</x:f>
        <x:v>0</x:v>
      </x:c>
    </x:row>
    <x:row r="295">
      <x:c r="A295" s="89" t="n">
        <x:v>290</x:v>
      </x:c>
      <x:c r="B295" s="89" t="str">
        <x:v>v1-mainnet-0290</x:v>
      </x:c>
      <x:c r="C295" s="90" t="str">
        <x:v>0x3af1f16714f3ce91ce0bd20a6b547c82b099b45e</x:v>
      </x:c>
      <x:c r="D295" s="98" t="str"/>
      <x:c r="E295" s="98" t="str">
        <x:v>EOA_CANDIDATE</x:v>
      </x:c>
      <x:c r="F295" s="91" t="b">
        <x:v>0</x:v>
      </x:c>
      <x:c r="G295" s="89" t="n">
        <x:v>0</x:v>
      </x:c>
      <x:c r="H295" s="90" t="str">
        <x:v>6375100000000</x:v>
      </x:c>
      <x:c r="I295" s="92" t="n">
        <x:v>6.3751</x:v>
      </x:c>
      <x:c r="J295" s="92" t="str">
        <x:v>6375100000000000000</x:v>
      </x:c>
      <x:c r="K295" s="92" t="n">
        <x:v>6.3751</x:v>
      </x:c>
      <x:c r="L295" s="98" t="str">
        <x:v>PENDING_OWNER_ELIGIBILITY_APPROVAL</x:v>
      </x:c>
      <x:c r="M295" s="98" t="b">
        <x:f>IF(E295="EOA_CANDIDATE",I295&gt;='Decision Summary'!$B$11,FALSE)</x:f>
        <x:v>0</x:v>
      </x:c>
      <x:c r="N295" s="98" t="str">
        <x:f>IF(M295,"DRAFT INCLUDE","HOLD / EXCLUDE")</x:f>
        <x:v>HOLD / EXCLUDE</x:v>
      </x:c>
      <x:c r="O295" s="101" t="str">
        <x:f>IF(M295,C295,"")</x:f>
      </x:c>
      <x:c r="P295" s="98" t="str">
        <x:f>IF(N295="DRAFT INCLUDE",ROUNDUP(COUNTIF($N$6:N295,"DRAFT INCLUDE")/'Decision Summary'!$B$12,0),"")</x:f>
      </x:c>
      <x:c r="Q295" s="98" t="str">
        <x:f>IF(N295="DRAFT INCLUDE",MOD(COUNTIF($N$6:N295,"DRAFT INCLUDE")-1,'Decision Summary'!$B$12)+1,"")</x:f>
      </x:c>
      <x:c r="R295" s="98" t="str">
        <x:v>PENDING</x:v>
      </x:c>
      <x:c r="S295" s="98" t="str"/>
      <x:c r="T295" s="98" t="str">
        <x:v>Ordinary EOA candidate; inclusion still depends on V1 deprecation, threshold policy and owner approval.</x:v>
      </x:c>
      <x:c r="U295" s="89" t="str">
        <x:v>https://etherscan.io/token/0x445d03f499f1c150615957bb87588fb465fc91cc#balances</x:v>
      </x:c>
      <x:c r="V295" s="89" t="b">
        <x:f>COUNTIF($C$6:$C$502,C295)&gt;1</x:f>
        <x:v>0</x:v>
      </x:c>
    </x:row>
    <x:row r="296">
      <x:c r="A296" s="89" t="n">
        <x:v>291</x:v>
      </x:c>
      <x:c r="B296" s="89" t="str">
        <x:v>v1-mainnet-0291</x:v>
      </x:c>
      <x:c r="C296" s="90" t="str">
        <x:v>0xc5454cf5a1b45286e9fc89c4ef08aff915c59cda</x:v>
      </x:c>
      <x:c r="D296" s="98" t="str"/>
      <x:c r="E296" s="98" t="str">
        <x:v>EOA_CANDIDATE</x:v>
      </x:c>
      <x:c r="F296" s="91" t="b">
        <x:v>0</x:v>
      </x:c>
      <x:c r="G296" s="89" t="n">
        <x:v>0</x:v>
      </x:c>
      <x:c r="H296" s="90" t="str">
        <x:v>6372400000000</x:v>
      </x:c>
      <x:c r="I296" s="92" t="n">
        <x:v>6.3724</x:v>
      </x:c>
      <x:c r="J296" s="92" t="str">
        <x:v>6372400000000000000</x:v>
      </x:c>
      <x:c r="K296" s="92" t="n">
        <x:v>6.3724</x:v>
      </x:c>
      <x:c r="L296" s="98" t="str">
        <x:v>PENDING_OWNER_ELIGIBILITY_APPROVAL</x:v>
      </x:c>
      <x:c r="M296" s="98" t="b">
        <x:f>IF(E296="EOA_CANDIDATE",I296&gt;='Decision Summary'!$B$11,FALSE)</x:f>
        <x:v>0</x:v>
      </x:c>
      <x:c r="N296" s="98" t="str">
        <x:f>IF(M296,"DRAFT INCLUDE","HOLD / EXCLUDE")</x:f>
        <x:v>HOLD / EXCLUDE</x:v>
      </x:c>
      <x:c r="O296" s="101" t="str">
        <x:f>IF(M296,C296,"")</x:f>
      </x:c>
      <x:c r="P296" s="98" t="str">
        <x:f>IF(N296="DRAFT INCLUDE",ROUNDUP(COUNTIF($N$6:N296,"DRAFT INCLUDE")/'Decision Summary'!$B$12,0),"")</x:f>
      </x:c>
      <x:c r="Q296" s="98" t="str">
        <x:f>IF(N296="DRAFT INCLUDE",MOD(COUNTIF($N$6:N296,"DRAFT INCLUDE")-1,'Decision Summary'!$B$12)+1,"")</x:f>
      </x:c>
      <x:c r="R296" s="98" t="str">
        <x:v>PENDING</x:v>
      </x:c>
      <x:c r="S296" s="98" t="str"/>
      <x:c r="T296" s="98" t="str">
        <x:v>Ordinary EOA candidate; inclusion still depends on V1 deprecation, threshold policy and owner approval.</x:v>
      </x:c>
      <x:c r="U296" s="89" t="str">
        <x:v>https://etherscan.io/token/0x445d03f499f1c150615957bb87588fb465fc91cc#balances</x:v>
      </x:c>
      <x:c r="V296" s="89" t="b">
        <x:f>COUNTIF($C$6:$C$502,C296)&gt;1</x:f>
        <x:v>0</x:v>
      </x:c>
    </x:row>
    <x:row r="297">
      <x:c r="A297" s="89" t="n">
        <x:v>292</x:v>
      </x:c>
      <x:c r="B297" s="89" t="str">
        <x:v>v1-mainnet-0292</x:v>
      </x:c>
      <x:c r="C297" s="90" t="str">
        <x:v>0x232f517ef48c34375fa6fe9b1a9f59f7afba0806</x:v>
      </x:c>
      <x:c r="D297" s="98" t="str"/>
      <x:c r="E297" s="98" t="str">
        <x:v>EOA_CANDIDATE</x:v>
      </x:c>
      <x:c r="F297" s="91" t="b">
        <x:v>0</x:v>
      </x:c>
      <x:c r="G297" s="89" t="n">
        <x:v>0</x:v>
      </x:c>
      <x:c r="H297" s="90" t="str">
        <x:v>6350600000000</x:v>
      </x:c>
      <x:c r="I297" s="92" t="n">
        <x:v>6.3506</x:v>
      </x:c>
      <x:c r="J297" s="92" t="str">
        <x:v>6350600000000000000</x:v>
      </x:c>
      <x:c r="K297" s="92" t="n">
        <x:v>6.3506</x:v>
      </x:c>
      <x:c r="L297" s="98" t="str">
        <x:v>PENDING_OWNER_ELIGIBILITY_APPROVAL</x:v>
      </x:c>
      <x:c r="M297" s="98" t="b">
        <x:f>IF(E297="EOA_CANDIDATE",I297&gt;='Decision Summary'!$B$11,FALSE)</x:f>
        <x:v>0</x:v>
      </x:c>
      <x:c r="N297" s="98" t="str">
        <x:f>IF(M297,"DRAFT INCLUDE","HOLD / EXCLUDE")</x:f>
        <x:v>HOLD / EXCLUDE</x:v>
      </x:c>
      <x:c r="O297" s="101" t="str">
        <x:f>IF(M297,C297,"")</x:f>
      </x:c>
      <x:c r="P297" s="98" t="str">
        <x:f>IF(N297="DRAFT INCLUDE",ROUNDUP(COUNTIF($N$6:N297,"DRAFT INCLUDE")/'Decision Summary'!$B$12,0),"")</x:f>
      </x:c>
      <x:c r="Q297" s="98" t="str">
        <x:f>IF(N297="DRAFT INCLUDE",MOD(COUNTIF($N$6:N297,"DRAFT INCLUDE")-1,'Decision Summary'!$B$12)+1,"")</x:f>
      </x:c>
      <x:c r="R297" s="98" t="str">
        <x:v>PENDING</x:v>
      </x:c>
      <x:c r="S297" s="98" t="str"/>
      <x:c r="T297" s="98" t="str">
        <x:v>Ordinary EOA candidate; inclusion still depends on V1 deprecation, threshold policy and owner approval.</x:v>
      </x:c>
      <x:c r="U297" s="89" t="str">
        <x:v>https://etherscan.io/token/0x445d03f499f1c150615957bb87588fb465fc91cc#balances</x:v>
      </x:c>
      <x:c r="V297" s="89" t="b">
        <x:f>COUNTIF($C$6:$C$502,C297)&gt;1</x:f>
        <x:v>0</x:v>
      </x:c>
    </x:row>
    <x:row r="298">
      <x:c r="A298" s="89" t="n">
        <x:v>293</x:v>
      </x:c>
      <x:c r="B298" s="89" t="str">
        <x:v>v1-mainnet-0293</x:v>
      </x:c>
      <x:c r="C298" s="90" t="str">
        <x:v>0x4d702c6057d9d27e0ef4824152614d2953cf19bf</x:v>
      </x:c>
      <x:c r="D298" s="98" t="str"/>
      <x:c r="E298" s="98" t="str">
        <x:v>EOA_CANDIDATE</x:v>
      </x:c>
      <x:c r="F298" s="91" t="b">
        <x:v>0</x:v>
      </x:c>
      <x:c r="G298" s="89" t="n">
        <x:v>0</x:v>
      </x:c>
      <x:c r="H298" s="90" t="str">
        <x:v>6333200000000</x:v>
      </x:c>
      <x:c r="I298" s="92" t="n">
        <x:v>6.3332</x:v>
      </x:c>
      <x:c r="J298" s="92" t="str">
        <x:v>6333200000000000000</x:v>
      </x:c>
      <x:c r="K298" s="92" t="n">
        <x:v>6.3332</x:v>
      </x:c>
      <x:c r="L298" s="98" t="str">
        <x:v>PENDING_OWNER_ELIGIBILITY_APPROVAL</x:v>
      </x:c>
      <x:c r="M298" s="98" t="b">
        <x:f>IF(E298="EOA_CANDIDATE",I298&gt;='Decision Summary'!$B$11,FALSE)</x:f>
        <x:v>0</x:v>
      </x:c>
      <x:c r="N298" s="98" t="str">
        <x:f>IF(M298,"DRAFT INCLUDE","HOLD / EXCLUDE")</x:f>
        <x:v>HOLD / EXCLUDE</x:v>
      </x:c>
      <x:c r="O298" s="101" t="str">
        <x:f>IF(M298,C298,"")</x:f>
      </x:c>
      <x:c r="P298" s="98" t="str">
        <x:f>IF(N298="DRAFT INCLUDE",ROUNDUP(COUNTIF($N$6:N298,"DRAFT INCLUDE")/'Decision Summary'!$B$12,0),"")</x:f>
      </x:c>
      <x:c r="Q298" s="98" t="str">
        <x:f>IF(N298="DRAFT INCLUDE",MOD(COUNTIF($N$6:N298,"DRAFT INCLUDE")-1,'Decision Summary'!$B$12)+1,"")</x:f>
      </x:c>
      <x:c r="R298" s="98" t="str">
        <x:v>PENDING</x:v>
      </x:c>
      <x:c r="S298" s="98" t="str"/>
      <x:c r="T298" s="98" t="str">
        <x:v>Ordinary EOA candidate; inclusion still depends on V1 deprecation, threshold policy and owner approval.</x:v>
      </x:c>
      <x:c r="U298" s="89" t="str">
        <x:v>https://etherscan.io/token/0x445d03f499f1c150615957bb87588fb465fc91cc#balances</x:v>
      </x:c>
      <x:c r="V298" s="89" t="b">
        <x:f>COUNTIF($C$6:$C$502,C298)&gt;1</x:f>
        <x:v>0</x:v>
      </x:c>
    </x:row>
    <x:row r="299">
      <x:c r="A299" s="89" t="n">
        <x:v>294</x:v>
      </x:c>
      <x:c r="B299" s="89" t="str">
        <x:v>v1-mainnet-0294</x:v>
      </x:c>
      <x:c r="C299" s="90" t="str">
        <x:v>0x43cac53a9e3c0e4099710830ddfa84cb5283dbed</x:v>
      </x:c>
      <x:c r="D299" s="98" t="str"/>
      <x:c r="E299" s="98" t="str">
        <x:v>EOA_CANDIDATE</x:v>
      </x:c>
      <x:c r="F299" s="91" t="b">
        <x:v>0</x:v>
      </x:c>
      <x:c r="G299" s="89" t="n">
        <x:v>0</x:v>
      </x:c>
      <x:c r="H299" s="90" t="str">
        <x:v>6327900000000</x:v>
      </x:c>
      <x:c r="I299" s="92" t="n">
        <x:v>6.3279</x:v>
      </x:c>
      <x:c r="J299" s="92" t="str">
        <x:v>6327900000000000000</x:v>
      </x:c>
      <x:c r="K299" s="92" t="n">
        <x:v>6.3279</x:v>
      </x:c>
      <x:c r="L299" s="98" t="str">
        <x:v>PENDING_OWNER_ELIGIBILITY_APPROVAL</x:v>
      </x:c>
      <x:c r="M299" s="98" t="b">
        <x:f>IF(E299="EOA_CANDIDATE",I299&gt;='Decision Summary'!$B$11,FALSE)</x:f>
        <x:v>0</x:v>
      </x:c>
      <x:c r="N299" s="98" t="str">
        <x:f>IF(M299,"DRAFT INCLUDE","HOLD / EXCLUDE")</x:f>
        <x:v>HOLD / EXCLUDE</x:v>
      </x:c>
      <x:c r="O299" s="101" t="str">
        <x:f>IF(M299,C299,"")</x:f>
      </x:c>
      <x:c r="P299" s="98" t="str">
        <x:f>IF(N299="DRAFT INCLUDE",ROUNDUP(COUNTIF($N$6:N299,"DRAFT INCLUDE")/'Decision Summary'!$B$12,0),"")</x:f>
      </x:c>
      <x:c r="Q299" s="98" t="str">
        <x:f>IF(N299="DRAFT INCLUDE",MOD(COUNTIF($N$6:N299,"DRAFT INCLUDE")-1,'Decision Summary'!$B$12)+1,"")</x:f>
      </x:c>
      <x:c r="R299" s="98" t="str">
        <x:v>PENDING</x:v>
      </x:c>
      <x:c r="S299" s="98" t="str"/>
      <x:c r="T299" s="98" t="str">
        <x:v>Ordinary EOA candidate; inclusion still depends on V1 deprecation, threshold policy and owner approval.</x:v>
      </x:c>
      <x:c r="U299" s="89" t="str">
        <x:v>https://etherscan.io/token/0x445d03f499f1c150615957bb87588fb465fc91cc#balances</x:v>
      </x:c>
      <x:c r="V299" s="89" t="b">
        <x:f>COUNTIF($C$6:$C$502,C299)&gt;1</x:f>
        <x:v>0</x:v>
      </x:c>
    </x:row>
    <x:row r="300">
      <x:c r="A300" s="89" t="n">
        <x:v>295</x:v>
      </x:c>
      <x:c r="B300" s="89" t="str">
        <x:v>v1-mainnet-0295</x:v>
      </x:c>
      <x:c r="C300" s="90" t="str">
        <x:v>0x75f9520d6a25cbd06d008240a4b97732c91bec55</x:v>
      </x:c>
      <x:c r="D300" s="98" t="str"/>
      <x:c r="E300" s="98" t="str">
        <x:v>EOA_CANDIDATE</x:v>
      </x:c>
      <x:c r="F300" s="91" t="b">
        <x:v>0</x:v>
      </x:c>
      <x:c r="G300" s="89" t="n">
        <x:v>0</x:v>
      </x:c>
      <x:c r="H300" s="90" t="str">
        <x:v>6305300000000</x:v>
      </x:c>
      <x:c r="I300" s="92" t="n">
        <x:v>6.3053</x:v>
      </x:c>
      <x:c r="J300" s="92" t="str">
        <x:v>6305300000000000000</x:v>
      </x:c>
      <x:c r="K300" s="92" t="n">
        <x:v>6.3053</x:v>
      </x:c>
      <x:c r="L300" s="98" t="str">
        <x:v>PENDING_OWNER_ELIGIBILITY_APPROVAL</x:v>
      </x:c>
      <x:c r="M300" s="98" t="b">
        <x:f>IF(E300="EOA_CANDIDATE",I300&gt;='Decision Summary'!$B$11,FALSE)</x:f>
        <x:v>0</x:v>
      </x:c>
      <x:c r="N300" s="98" t="str">
        <x:f>IF(M300,"DRAFT INCLUDE","HOLD / EXCLUDE")</x:f>
        <x:v>HOLD / EXCLUDE</x:v>
      </x:c>
      <x:c r="O300" s="101" t="str">
        <x:f>IF(M300,C300,"")</x:f>
      </x:c>
      <x:c r="P300" s="98" t="str">
        <x:f>IF(N300="DRAFT INCLUDE",ROUNDUP(COUNTIF($N$6:N300,"DRAFT INCLUDE")/'Decision Summary'!$B$12,0),"")</x:f>
      </x:c>
      <x:c r="Q300" s="98" t="str">
        <x:f>IF(N300="DRAFT INCLUDE",MOD(COUNTIF($N$6:N300,"DRAFT INCLUDE")-1,'Decision Summary'!$B$12)+1,"")</x:f>
      </x:c>
      <x:c r="R300" s="98" t="str">
        <x:v>PENDING</x:v>
      </x:c>
      <x:c r="S300" s="98" t="str"/>
      <x:c r="T300" s="98" t="str">
        <x:v>Ordinary EOA candidate; inclusion still depends on V1 deprecation, threshold policy and owner approval.</x:v>
      </x:c>
      <x:c r="U300" s="89" t="str">
        <x:v>https://etherscan.io/token/0x445d03f499f1c150615957bb87588fb465fc91cc#balances</x:v>
      </x:c>
      <x:c r="V300" s="89" t="b">
        <x:f>COUNTIF($C$6:$C$502,C300)&gt;1</x:f>
        <x:v>0</x:v>
      </x:c>
    </x:row>
    <x:row r="301">
      <x:c r="A301" s="89" t="n">
        <x:v>296</x:v>
      </x:c>
      <x:c r="B301" s="89" t="str">
        <x:v>v1-mainnet-0296</x:v>
      </x:c>
      <x:c r="C301" s="90" t="str">
        <x:v>0xe1947398f4d353b97e063386111469165b709f2c</x:v>
      </x:c>
      <x:c r="D301" s="98" t="str"/>
      <x:c r="E301" s="98" t="str">
        <x:v>EOA_CANDIDATE</x:v>
      </x:c>
      <x:c r="F301" s="91" t="b">
        <x:v>0</x:v>
      </x:c>
      <x:c r="G301" s="89" t="n">
        <x:v>0</x:v>
      </x:c>
      <x:c r="H301" s="90" t="str">
        <x:v>6301800000000</x:v>
      </x:c>
      <x:c r="I301" s="92" t="n">
        <x:v>6.3018</x:v>
      </x:c>
      <x:c r="J301" s="92" t="str">
        <x:v>6301800000000000000</x:v>
      </x:c>
      <x:c r="K301" s="92" t="n">
        <x:v>6.3018</x:v>
      </x:c>
      <x:c r="L301" s="98" t="str">
        <x:v>PENDING_OWNER_ELIGIBILITY_APPROVAL</x:v>
      </x:c>
      <x:c r="M301" s="98" t="b">
        <x:f>IF(E301="EOA_CANDIDATE",I301&gt;='Decision Summary'!$B$11,FALSE)</x:f>
        <x:v>0</x:v>
      </x:c>
      <x:c r="N301" s="98" t="str">
        <x:f>IF(M301,"DRAFT INCLUDE","HOLD / EXCLUDE")</x:f>
        <x:v>HOLD / EXCLUDE</x:v>
      </x:c>
      <x:c r="O301" s="101" t="str">
        <x:f>IF(M301,C301,"")</x:f>
      </x:c>
      <x:c r="P301" s="98" t="str">
        <x:f>IF(N301="DRAFT INCLUDE",ROUNDUP(COUNTIF($N$6:N301,"DRAFT INCLUDE")/'Decision Summary'!$B$12,0),"")</x:f>
      </x:c>
      <x:c r="Q301" s="98" t="str">
        <x:f>IF(N301="DRAFT INCLUDE",MOD(COUNTIF($N$6:N301,"DRAFT INCLUDE")-1,'Decision Summary'!$B$12)+1,"")</x:f>
      </x:c>
      <x:c r="R301" s="98" t="str">
        <x:v>PENDING</x:v>
      </x:c>
      <x:c r="S301" s="98" t="str"/>
      <x:c r="T301" s="98" t="str">
        <x:v>Ordinary EOA candidate; inclusion still depends on V1 deprecation, threshold policy and owner approval.</x:v>
      </x:c>
      <x:c r="U301" s="89" t="str">
        <x:v>https://etherscan.io/token/0x445d03f499f1c150615957bb87588fb465fc91cc#balances</x:v>
      </x:c>
      <x:c r="V301" s="89" t="b">
        <x:f>COUNTIF($C$6:$C$502,C301)&gt;1</x:f>
        <x:v>0</x:v>
      </x:c>
    </x:row>
    <x:row r="302">
      <x:c r="A302" s="89" t="n">
        <x:v>297</x:v>
      </x:c>
      <x:c r="B302" s="89" t="str">
        <x:v>v1-mainnet-0297</x:v>
      </x:c>
      <x:c r="C302" s="90" t="str">
        <x:v>0xd85fcb332c04859656ef1c81ff84a2fc7dd88593</x:v>
      </x:c>
      <x:c r="D302" s="98" t="str"/>
      <x:c r="E302" s="98" t="str">
        <x:v>EOA_CANDIDATE</x:v>
      </x:c>
      <x:c r="F302" s="91" t="b">
        <x:v>0</x:v>
      </x:c>
      <x:c r="G302" s="89" t="n">
        <x:v>0</x:v>
      </x:c>
      <x:c r="H302" s="90" t="str">
        <x:v>6270700000000</x:v>
      </x:c>
      <x:c r="I302" s="92" t="n">
        <x:v>6.2707</x:v>
      </x:c>
      <x:c r="J302" s="92" t="str">
        <x:v>6270700000000000000</x:v>
      </x:c>
      <x:c r="K302" s="92" t="n">
        <x:v>6.2707</x:v>
      </x:c>
      <x:c r="L302" s="98" t="str">
        <x:v>PENDING_OWNER_ELIGIBILITY_APPROVAL</x:v>
      </x:c>
      <x:c r="M302" s="98" t="b">
        <x:f>IF(E302="EOA_CANDIDATE",I302&gt;='Decision Summary'!$B$11,FALSE)</x:f>
        <x:v>0</x:v>
      </x:c>
      <x:c r="N302" s="98" t="str">
        <x:f>IF(M302,"DRAFT INCLUDE","HOLD / EXCLUDE")</x:f>
        <x:v>HOLD / EXCLUDE</x:v>
      </x:c>
      <x:c r="O302" s="101" t="str">
        <x:f>IF(M302,C302,"")</x:f>
      </x:c>
      <x:c r="P302" s="98" t="str">
        <x:f>IF(N302="DRAFT INCLUDE",ROUNDUP(COUNTIF($N$6:N302,"DRAFT INCLUDE")/'Decision Summary'!$B$12,0),"")</x:f>
      </x:c>
      <x:c r="Q302" s="98" t="str">
        <x:f>IF(N302="DRAFT INCLUDE",MOD(COUNTIF($N$6:N302,"DRAFT INCLUDE")-1,'Decision Summary'!$B$12)+1,"")</x:f>
      </x:c>
      <x:c r="R302" s="98" t="str">
        <x:v>PENDING</x:v>
      </x:c>
      <x:c r="S302" s="98" t="str"/>
      <x:c r="T302" s="98" t="str">
        <x:v>Ordinary EOA candidate; inclusion still depends on V1 deprecation, threshold policy and owner approval.</x:v>
      </x:c>
      <x:c r="U302" s="89" t="str">
        <x:v>https://etherscan.io/token/0x445d03f499f1c150615957bb87588fb465fc91cc#balances</x:v>
      </x:c>
      <x:c r="V302" s="89" t="b">
        <x:f>COUNTIF($C$6:$C$502,C302)&gt;1</x:f>
        <x:v>0</x:v>
      </x:c>
    </x:row>
    <x:row r="303">
      <x:c r="A303" s="89" t="n">
        <x:v>298</x:v>
      </x:c>
      <x:c r="B303" s="89" t="str">
        <x:v>v1-mainnet-0298</x:v>
      </x:c>
      <x:c r="C303" s="90" t="str">
        <x:v>0xcefbb7f71994cd57914906d98d147b3129a2d700</x:v>
      </x:c>
      <x:c r="D303" s="98" t="str"/>
      <x:c r="E303" s="98" t="str">
        <x:v>EOA_CANDIDATE</x:v>
      </x:c>
      <x:c r="F303" s="91" t="b">
        <x:v>0</x:v>
      </x:c>
      <x:c r="G303" s="89" t="n">
        <x:v>0</x:v>
      </x:c>
      <x:c r="H303" s="90" t="str">
        <x:v>6246309693238</x:v>
      </x:c>
      <x:c r="I303" s="92" t="n">
        <x:v>6.246309693238</x:v>
      </x:c>
      <x:c r="J303" s="92" t="str">
        <x:v>6246309693238000000</x:v>
      </x:c>
      <x:c r="K303" s="92" t="n">
        <x:v>6.246309693238</x:v>
      </x:c>
      <x:c r="L303" s="98" t="str">
        <x:v>PENDING_OWNER_ELIGIBILITY_APPROVAL</x:v>
      </x:c>
      <x:c r="M303" s="98" t="b">
        <x:f>IF(E303="EOA_CANDIDATE",I303&gt;='Decision Summary'!$B$11,FALSE)</x:f>
        <x:v>0</x:v>
      </x:c>
      <x:c r="N303" s="98" t="str">
        <x:f>IF(M303,"DRAFT INCLUDE","HOLD / EXCLUDE")</x:f>
        <x:v>HOLD / EXCLUDE</x:v>
      </x:c>
      <x:c r="O303" s="101" t="str">
        <x:f>IF(M303,C303,"")</x:f>
      </x:c>
      <x:c r="P303" s="98" t="str">
        <x:f>IF(N303="DRAFT INCLUDE",ROUNDUP(COUNTIF($N$6:N303,"DRAFT INCLUDE")/'Decision Summary'!$B$12,0),"")</x:f>
      </x:c>
      <x:c r="Q303" s="98" t="str">
        <x:f>IF(N303="DRAFT INCLUDE",MOD(COUNTIF($N$6:N303,"DRAFT INCLUDE")-1,'Decision Summary'!$B$12)+1,"")</x:f>
      </x:c>
      <x:c r="R303" s="98" t="str">
        <x:v>PENDING</x:v>
      </x:c>
      <x:c r="S303" s="98" t="str"/>
      <x:c r="T303" s="98" t="str">
        <x:v>Ordinary EOA candidate; inclusion still depends on V1 deprecation, threshold policy and owner approval.</x:v>
      </x:c>
      <x:c r="U303" s="89" t="str">
        <x:v>https://etherscan.io/token/0x445d03f499f1c150615957bb87588fb465fc91cc#balances</x:v>
      </x:c>
      <x:c r="V303" s="89" t="b">
        <x:f>COUNTIF($C$6:$C$502,C303)&gt;1</x:f>
        <x:v>0</x:v>
      </x:c>
    </x:row>
    <x:row r="304">
      <x:c r="A304" s="89" t="n">
        <x:v>299</x:v>
      </x:c>
      <x:c r="B304" s="89" t="str">
        <x:v>v1-mainnet-0299</x:v>
      </x:c>
      <x:c r="C304" s="90" t="str">
        <x:v>0xe43ae0bb56b6fe807dd506815394b3d9d06874bf</x:v>
      </x:c>
      <x:c r="D304" s="98" t="str"/>
      <x:c r="E304" s="98" t="str">
        <x:v>EOA_CANDIDATE</x:v>
      </x:c>
      <x:c r="F304" s="91" t="b">
        <x:v>0</x:v>
      </x:c>
      <x:c r="G304" s="89" t="n">
        <x:v>0</x:v>
      </x:c>
      <x:c r="H304" s="90" t="str">
        <x:v>6246300000000</x:v>
      </x:c>
      <x:c r="I304" s="92" t="n">
        <x:v>6.2463</x:v>
      </x:c>
      <x:c r="J304" s="92" t="str">
        <x:v>6246300000000000000</x:v>
      </x:c>
      <x:c r="K304" s="92" t="n">
        <x:v>6.2463</x:v>
      </x:c>
      <x:c r="L304" s="98" t="str">
        <x:v>PENDING_OWNER_ELIGIBILITY_APPROVAL</x:v>
      </x:c>
      <x:c r="M304" s="98" t="b">
        <x:f>IF(E304="EOA_CANDIDATE",I304&gt;='Decision Summary'!$B$11,FALSE)</x:f>
        <x:v>0</x:v>
      </x:c>
      <x:c r="N304" s="98" t="str">
        <x:f>IF(M304,"DRAFT INCLUDE","HOLD / EXCLUDE")</x:f>
        <x:v>HOLD / EXCLUDE</x:v>
      </x:c>
      <x:c r="O304" s="101" t="str">
        <x:f>IF(M304,C304,"")</x:f>
      </x:c>
      <x:c r="P304" s="98" t="str">
        <x:f>IF(N304="DRAFT INCLUDE",ROUNDUP(COUNTIF($N$6:N304,"DRAFT INCLUDE")/'Decision Summary'!$B$12,0),"")</x:f>
      </x:c>
      <x:c r="Q304" s="98" t="str">
        <x:f>IF(N304="DRAFT INCLUDE",MOD(COUNTIF($N$6:N304,"DRAFT INCLUDE")-1,'Decision Summary'!$B$12)+1,"")</x:f>
      </x:c>
      <x:c r="R304" s="98" t="str">
        <x:v>PENDING</x:v>
      </x:c>
      <x:c r="S304" s="98" t="str"/>
      <x:c r="T304" s="98" t="str">
        <x:v>Ordinary EOA candidate; inclusion still depends on V1 deprecation, threshold policy and owner approval.</x:v>
      </x:c>
      <x:c r="U304" s="89" t="str">
        <x:v>https://etherscan.io/token/0x445d03f499f1c150615957bb87588fb465fc91cc#balances</x:v>
      </x:c>
      <x:c r="V304" s="89" t="b">
        <x:f>COUNTIF($C$6:$C$502,C304)&gt;1</x:f>
        <x:v>0</x:v>
      </x:c>
    </x:row>
    <x:row r="305">
      <x:c r="A305" s="89" t="n">
        <x:v>300</x:v>
      </x:c>
      <x:c r="B305" s="89" t="str">
        <x:v>v1-mainnet-0300</x:v>
      </x:c>
      <x:c r="C305" s="90" t="str">
        <x:v>0xed89aa9833ca8b8fb9b2398fb9efa04c0960259d</x:v>
      </x:c>
      <x:c r="D305" s="98" t="str"/>
      <x:c r="E305" s="98" t="str">
        <x:v>EOA_CANDIDATE</x:v>
      </x:c>
      <x:c r="F305" s="91" t="b">
        <x:v>0</x:v>
      </x:c>
      <x:c r="G305" s="89" t="n">
        <x:v>0</x:v>
      </x:c>
      <x:c r="H305" s="90" t="str">
        <x:v>6245900000000</x:v>
      </x:c>
      <x:c r="I305" s="92" t="n">
        <x:v>6.2459</x:v>
      </x:c>
      <x:c r="J305" s="92" t="str">
        <x:v>6245900000000000000</x:v>
      </x:c>
      <x:c r="K305" s="92" t="n">
        <x:v>6.2459</x:v>
      </x:c>
      <x:c r="L305" s="98" t="str">
        <x:v>PENDING_OWNER_ELIGIBILITY_APPROVAL</x:v>
      </x:c>
      <x:c r="M305" s="98" t="b">
        <x:f>IF(E305="EOA_CANDIDATE",I305&gt;='Decision Summary'!$B$11,FALSE)</x:f>
        <x:v>0</x:v>
      </x:c>
      <x:c r="N305" s="98" t="str">
        <x:f>IF(M305,"DRAFT INCLUDE","HOLD / EXCLUDE")</x:f>
        <x:v>HOLD / EXCLUDE</x:v>
      </x:c>
      <x:c r="O305" s="101" t="str">
        <x:f>IF(M305,C305,"")</x:f>
      </x:c>
      <x:c r="P305" s="98" t="str">
        <x:f>IF(N305="DRAFT INCLUDE",ROUNDUP(COUNTIF($N$6:N305,"DRAFT INCLUDE")/'Decision Summary'!$B$12,0),"")</x:f>
      </x:c>
      <x:c r="Q305" s="98" t="str">
        <x:f>IF(N305="DRAFT INCLUDE",MOD(COUNTIF($N$6:N305,"DRAFT INCLUDE")-1,'Decision Summary'!$B$12)+1,"")</x:f>
      </x:c>
      <x:c r="R305" s="98" t="str">
        <x:v>PENDING</x:v>
      </x:c>
      <x:c r="S305" s="98" t="str"/>
      <x:c r="T305" s="98" t="str">
        <x:v>Ordinary EOA candidate; inclusion still depends on V1 deprecation, threshold policy and owner approval.</x:v>
      </x:c>
      <x:c r="U305" s="89" t="str">
        <x:v>https://etherscan.io/token/0x445d03f499f1c150615957bb87588fb465fc91cc#balances</x:v>
      </x:c>
      <x:c r="V305" s="89" t="b">
        <x:f>COUNTIF($C$6:$C$502,C305)&gt;1</x:f>
        <x:v>0</x:v>
      </x:c>
    </x:row>
    <x:row r="306">
      <x:c r="A306" s="89" t="n">
        <x:v>301</x:v>
      </x:c>
      <x:c r="B306" s="89" t="str">
        <x:v>v1-mainnet-0301</x:v>
      </x:c>
      <x:c r="C306" s="90" t="str">
        <x:v>0x23029f4e2453016dc3211b69d0b4923c4ef85f51</x:v>
      </x:c>
      <x:c r="D306" s="98" t="str"/>
      <x:c r="E306" s="98" t="str">
        <x:v>EOA_CANDIDATE</x:v>
      </x:c>
      <x:c r="F306" s="91" t="b">
        <x:v>0</x:v>
      </x:c>
      <x:c r="G306" s="89" t="n">
        <x:v>0</x:v>
      </x:c>
      <x:c r="H306" s="90" t="str">
        <x:v>6245300000000</x:v>
      </x:c>
      <x:c r="I306" s="92" t="n">
        <x:v>6.2453</x:v>
      </x:c>
      <x:c r="J306" s="92" t="str">
        <x:v>6245300000000000000</x:v>
      </x:c>
      <x:c r="K306" s="92" t="n">
        <x:v>6.2453</x:v>
      </x:c>
      <x:c r="L306" s="98" t="str">
        <x:v>PENDING_OWNER_ELIGIBILITY_APPROVAL</x:v>
      </x:c>
      <x:c r="M306" s="98" t="b">
        <x:f>IF(E306="EOA_CANDIDATE",I306&gt;='Decision Summary'!$B$11,FALSE)</x:f>
        <x:v>0</x:v>
      </x:c>
      <x:c r="N306" s="98" t="str">
        <x:f>IF(M306,"DRAFT INCLUDE","HOLD / EXCLUDE")</x:f>
        <x:v>HOLD / EXCLUDE</x:v>
      </x:c>
      <x:c r="O306" s="101" t="str">
        <x:f>IF(M306,C306,"")</x:f>
      </x:c>
      <x:c r="P306" s="98" t="str">
        <x:f>IF(N306="DRAFT INCLUDE",ROUNDUP(COUNTIF($N$6:N306,"DRAFT INCLUDE")/'Decision Summary'!$B$12,0),"")</x:f>
      </x:c>
      <x:c r="Q306" s="98" t="str">
        <x:f>IF(N306="DRAFT INCLUDE",MOD(COUNTIF($N$6:N306,"DRAFT INCLUDE")-1,'Decision Summary'!$B$12)+1,"")</x:f>
      </x:c>
      <x:c r="R306" s="98" t="str">
        <x:v>PENDING</x:v>
      </x:c>
      <x:c r="S306" s="98" t="str"/>
      <x:c r="T306" s="98" t="str">
        <x:v>Ordinary EOA candidate; inclusion still depends on V1 deprecation, threshold policy and owner approval.</x:v>
      </x:c>
      <x:c r="U306" s="89" t="str">
        <x:v>https://etherscan.io/token/0x445d03f499f1c150615957bb87588fb465fc91cc#balances</x:v>
      </x:c>
      <x:c r="V306" s="89" t="b">
        <x:f>COUNTIF($C$6:$C$502,C306)&gt;1</x:f>
        <x:v>0</x:v>
      </x:c>
    </x:row>
    <x:row r="307">
      <x:c r="A307" s="89" t="n">
        <x:v>302</x:v>
      </x:c>
      <x:c r="B307" s="89" t="str">
        <x:v>v1-mainnet-0302</x:v>
      </x:c>
      <x:c r="C307" s="90" t="str">
        <x:v>0x76da616946e0aa134f22d90363abec9dc573b8d8</x:v>
      </x:c>
      <x:c r="D307" s="98" t="str"/>
      <x:c r="E307" s="98" t="str">
        <x:v>EOA_CANDIDATE</x:v>
      </x:c>
      <x:c r="F307" s="91" t="b">
        <x:v>0</x:v>
      </x:c>
      <x:c r="G307" s="89" t="n">
        <x:v>0</x:v>
      </x:c>
      <x:c r="H307" s="90" t="str">
        <x:v>6231200000000</x:v>
      </x:c>
      <x:c r="I307" s="92" t="n">
        <x:v>6.2312</x:v>
      </x:c>
      <x:c r="J307" s="92" t="str">
        <x:v>6231200000000000000</x:v>
      </x:c>
      <x:c r="K307" s="92" t="n">
        <x:v>6.2312</x:v>
      </x:c>
      <x:c r="L307" s="98" t="str">
        <x:v>PENDING_OWNER_ELIGIBILITY_APPROVAL</x:v>
      </x:c>
      <x:c r="M307" s="98" t="b">
        <x:f>IF(E307="EOA_CANDIDATE",I307&gt;='Decision Summary'!$B$11,FALSE)</x:f>
        <x:v>0</x:v>
      </x:c>
      <x:c r="N307" s="98" t="str">
        <x:f>IF(M307,"DRAFT INCLUDE","HOLD / EXCLUDE")</x:f>
        <x:v>HOLD / EXCLUDE</x:v>
      </x:c>
      <x:c r="O307" s="101" t="str">
        <x:f>IF(M307,C307,"")</x:f>
      </x:c>
      <x:c r="P307" s="98" t="str">
        <x:f>IF(N307="DRAFT INCLUDE",ROUNDUP(COUNTIF($N$6:N307,"DRAFT INCLUDE")/'Decision Summary'!$B$12,0),"")</x:f>
      </x:c>
      <x:c r="Q307" s="98" t="str">
        <x:f>IF(N307="DRAFT INCLUDE",MOD(COUNTIF($N$6:N307,"DRAFT INCLUDE")-1,'Decision Summary'!$B$12)+1,"")</x:f>
      </x:c>
      <x:c r="R307" s="98" t="str">
        <x:v>PENDING</x:v>
      </x:c>
      <x:c r="S307" s="98" t="str"/>
      <x:c r="T307" s="98" t="str">
        <x:v>Ordinary EOA candidate; inclusion still depends on V1 deprecation, threshold policy and owner approval.</x:v>
      </x:c>
      <x:c r="U307" s="89" t="str">
        <x:v>https://etherscan.io/token/0x445d03f499f1c150615957bb87588fb465fc91cc#balances</x:v>
      </x:c>
      <x:c r="V307" s="89" t="b">
        <x:f>COUNTIF($C$6:$C$502,C307)&gt;1</x:f>
        <x:v>0</x:v>
      </x:c>
    </x:row>
    <x:row r="308">
      <x:c r="A308" s="89" t="n">
        <x:v>303</x:v>
      </x:c>
      <x:c r="B308" s="89" t="str">
        <x:v>v1-mainnet-0303</x:v>
      </x:c>
      <x:c r="C308" s="90" t="str">
        <x:v>0x92e515bfd4f211bb2bd5a6ead1fcedc4dad34a40</x:v>
      </x:c>
      <x:c r="D308" s="98" t="str"/>
      <x:c r="E308" s="98" t="str">
        <x:v>EOA_CANDIDATE</x:v>
      </x:c>
      <x:c r="F308" s="91" t="b">
        <x:v>0</x:v>
      </x:c>
      <x:c r="G308" s="89" t="n">
        <x:v>0</x:v>
      </x:c>
      <x:c r="H308" s="90" t="str">
        <x:v>6188200000000</x:v>
      </x:c>
      <x:c r="I308" s="92" t="n">
        <x:v>6.1882</x:v>
      </x:c>
      <x:c r="J308" s="92" t="str">
        <x:v>6188200000000000000</x:v>
      </x:c>
      <x:c r="K308" s="92" t="n">
        <x:v>6.1882</x:v>
      </x:c>
      <x:c r="L308" s="98" t="str">
        <x:v>PENDING_OWNER_ELIGIBILITY_APPROVAL</x:v>
      </x:c>
      <x:c r="M308" s="98" t="b">
        <x:f>IF(E308="EOA_CANDIDATE",I308&gt;='Decision Summary'!$B$11,FALSE)</x:f>
        <x:v>0</x:v>
      </x:c>
      <x:c r="N308" s="98" t="str">
        <x:f>IF(M308,"DRAFT INCLUDE","HOLD / EXCLUDE")</x:f>
        <x:v>HOLD / EXCLUDE</x:v>
      </x:c>
      <x:c r="O308" s="101" t="str">
        <x:f>IF(M308,C308,"")</x:f>
      </x:c>
      <x:c r="P308" s="98" t="str">
        <x:f>IF(N308="DRAFT INCLUDE",ROUNDUP(COUNTIF($N$6:N308,"DRAFT INCLUDE")/'Decision Summary'!$B$12,0),"")</x:f>
      </x:c>
      <x:c r="Q308" s="98" t="str">
        <x:f>IF(N308="DRAFT INCLUDE",MOD(COUNTIF($N$6:N308,"DRAFT INCLUDE")-1,'Decision Summary'!$B$12)+1,"")</x:f>
      </x:c>
      <x:c r="R308" s="98" t="str">
        <x:v>PENDING</x:v>
      </x:c>
      <x:c r="S308" s="98" t="str"/>
      <x:c r="T308" s="98" t="str">
        <x:v>Ordinary EOA candidate; inclusion still depends on V1 deprecation, threshold policy and owner approval.</x:v>
      </x:c>
      <x:c r="U308" s="89" t="str">
        <x:v>https://etherscan.io/token/0x445d03f499f1c150615957bb87588fb465fc91cc#balances</x:v>
      </x:c>
      <x:c r="V308" s="89" t="b">
        <x:f>COUNTIF($C$6:$C$502,C308)&gt;1</x:f>
        <x:v>0</x:v>
      </x:c>
    </x:row>
    <x:row r="309">
      <x:c r="A309" s="89" t="n">
        <x:v>304</x:v>
      </x:c>
      <x:c r="B309" s="89" t="str">
        <x:v>v1-mainnet-0304</x:v>
      </x:c>
      <x:c r="C309" s="90" t="str">
        <x:v>0xc87ca236cd5b428841a486368fb26b2723d248e3</x:v>
      </x:c>
      <x:c r="D309" s="98" t="str"/>
      <x:c r="E309" s="98" t="str">
        <x:v>EOA_CANDIDATE</x:v>
      </x:c>
      <x:c r="F309" s="91" t="b">
        <x:v>0</x:v>
      </x:c>
      <x:c r="G309" s="89" t="n">
        <x:v>0</x:v>
      </x:c>
      <x:c r="H309" s="90" t="str">
        <x:v>6176500000000</x:v>
      </x:c>
      <x:c r="I309" s="92" t="n">
        <x:v>6.1765</x:v>
      </x:c>
      <x:c r="J309" s="92" t="str">
        <x:v>6176500000000000000</x:v>
      </x:c>
      <x:c r="K309" s="92" t="n">
        <x:v>6.1765</x:v>
      </x:c>
      <x:c r="L309" s="98" t="str">
        <x:v>PENDING_OWNER_ELIGIBILITY_APPROVAL</x:v>
      </x:c>
      <x:c r="M309" s="98" t="b">
        <x:f>IF(E309="EOA_CANDIDATE",I309&gt;='Decision Summary'!$B$11,FALSE)</x:f>
        <x:v>0</x:v>
      </x:c>
      <x:c r="N309" s="98" t="str">
        <x:f>IF(M309,"DRAFT INCLUDE","HOLD / EXCLUDE")</x:f>
        <x:v>HOLD / EXCLUDE</x:v>
      </x:c>
      <x:c r="O309" s="101" t="str">
        <x:f>IF(M309,C309,"")</x:f>
      </x:c>
      <x:c r="P309" s="98" t="str">
        <x:f>IF(N309="DRAFT INCLUDE",ROUNDUP(COUNTIF($N$6:N309,"DRAFT INCLUDE")/'Decision Summary'!$B$12,0),"")</x:f>
      </x:c>
      <x:c r="Q309" s="98" t="str">
        <x:f>IF(N309="DRAFT INCLUDE",MOD(COUNTIF($N$6:N309,"DRAFT INCLUDE")-1,'Decision Summary'!$B$12)+1,"")</x:f>
      </x:c>
      <x:c r="R309" s="98" t="str">
        <x:v>PENDING</x:v>
      </x:c>
      <x:c r="S309" s="98" t="str"/>
      <x:c r="T309" s="98" t="str">
        <x:v>Ordinary EOA candidate; inclusion still depends on V1 deprecation, threshold policy and owner approval.</x:v>
      </x:c>
      <x:c r="U309" s="89" t="str">
        <x:v>https://etherscan.io/token/0x445d03f499f1c150615957bb87588fb465fc91cc#balances</x:v>
      </x:c>
      <x:c r="V309" s="89" t="b">
        <x:f>COUNTIF($C$6:$C$502,C309)&gt;1</x:f>
        <x:v>0</x:v>
      </x:c>
    </x:row>
    <x:row r="310">
      <x:c r="A310" s="89" t="n">
        <x:v>305</x:v>
      </x:c>
      <x:c r="B310" s="89" t="str">
        <x:v>v1-mainnet-0305</x:v>
      </x:c>
      <x:c r="C310" s="90" t="str">
        <x:v>0x7992ed040ebc8d4167dd70fa72a278df8033ce77</x:v>
      </x:c>
      <x:c r="D310" s="98" t="str"/>
      <x:c r="E310" s="98" t="str">
        <x:v>EOA_CANDIDATE</x:v>
      </x:c>
      <x:c r="F310" s="91" t="b">
        <x:v>0</x:v>
      </x:c>
      <x:c r="G310" s="89" t="n">
        <x:v>0</x:v>
      </x:c>
      <x:c r="H310" s="90" t="str">
        <x:v>6171700000000</x:v>
      </x:c>
      <x:c r="I310" s="92" t="n">
        <x:v>6.1717</x:v>
      </x:c>
      <x:c r="J310" s="92" t="str">
        <x:v>6171700000000000000</x:v>
      </x:c>
      <x:c r="K310" s="92" t="n">
        <x:v>6.1717</x:v>
      </x:c>
      <x:c r="L310" s="98" t="str">
        <x:v>PENDING_OWNER_ELIGIBILITY_APPROVAL</x:v>
      </x:c>
      <x:c r="M310" s="98" t="b">
        <x:f>IF(E310="EOA_CANDIDATE",I310&gt;='Decision Summary'!$B$11,FALSE)</x:f>
        <x:v>0</x:v>
      </x:c>
      <x:c r="N310" s="98" t="str">
        <x:f>IF(M310,"DRAFT INCLUDE","HOLD / EXCLUDE")</x:f>
        <x:v>HOLD / EXCLUDE</x:v>
      </x:c>
      <x:c r="O310" s="101" t="str">
        <x:f>IF(M310,C310,"")</x:f>
      </x:c>
      <x:c r="P310" s="98" t="str">
        <x:f>IF(N310="DRAFT INCLUDE",ROUNDUP(COUNTIF($N$6:N310,"DRAFT INCLUDE")/'Decision Summary'!$B$12,0),"")</x:f>
      </x:c>
      <x:c r="Q310" s="98" t="str">
        <x:f>IF(N310="DRAFT INCLUDE",MOD(COUNTIF($N$6:N310,"DRAFT INCLUDE")-1,'Decision Summary'!$B$12)+1,"")</x:f>
      </x:c>
      <x:c r="R310" s="98" t="str">
        <x:v>PENDING</x:v>
      </x:c>
      <x:c r="S310" s="98" t="str"/>
      <x:c r="T310" s="98" t="str">
        <x:v>Ordinary EOA candidate; inclusion still depends on V1 deprecation, threshold policy and owner approval.</x:v>
      </x:c>
      <x:c r="U310" s="89" t="str">
        <x:v>https://etherscan.io/token/0x445d03f499f1c150615957bb87588fb465fc91cc#balances</x:v>
      </x:c>
      <x:c r="V310" s="89" t="b">
        <x:f>COUNTIF($C$6:$C$502,C310)&gt;1</x:f>
        <x:v>0</x:v>
      </x:c>
    </x:row>
    <x:row r="311">
      <x:c r="A311" s="89" t="n">
        <x:v>306</x:v>
      </x:c>
      <x:c r="B311" s="89" t="str">
        <x:v>v1-mainnet-0306</x:v>
      </x:c>
      <x:c r="C311" s="90" t="str">
        <x:v>0x46ba32d99e6e584178c5a6ca249ea23afad84a47</x:v>
      </x:c>
      <x:c r="D311" s="98" t="str"/>
      <x:c r="E311" s="98" t="str">
        <x:v>EOA_CANDIDATE</x:v>
      </x:c>
      <x:c r="F311" s="91" t="b">
        <x:v>0</x:v>
      </x:c>
      <x:c r="G311" s="89" t="n">
        <x:v>0</x:v>
      </x:c>
      <x:c r="H311" s="90" t="str">
        <x:v>6143400000000</x:v>
      </x:c>
      <x:c r="I311" s="92" t="n">
        <x:v>6.1434</x:v>
      </x:c>
      <x:c r="J311" s="92" t="str">
        <x:v>6143400000000000000</x:v>
      </x:c>
      <x:c r="K311" s="92" t="n">
        <x:v>6.1434</x:v>
      </x:c>
      <x:c r="L311" s="98" t="str">
        <x:v>PENDING_OWNER_ELIGIBILITY_APPROVAL</x:v>
      </x:c>
      <x:c r="M311" s="98" t="b">
        <x:f>IF(E311="EOA_CANDIDATE",I311&gt;='Decision Summary'!$B$11,FALSE)</x:f>
        <x:v>0</x:v>
      </x:c>
      <x:c r="N311" s="98" t="str">
        <x:f>IF(M311,"DRAFT INCLUDE","HOLD / EXCLUDE")</x:f>
        <x:v>HOLD / EXCLUDE</x:v>
      </x:c>
      <x:c r="O311" s="101" t="str">
        <x:f>IF(M311,C311,"")</x:f>
      </x:c>
      <x:c r="P311" s="98" t="str">
        <x:f>IF(N311="DRAFT INCLUDE",ROUNDUP(COUNTIF($N$6:N311,"DRAFT INCLUDE")/'Decision Summary'!$B$12,0),"")</x:f>
      </x:c>
      <x:c r="Q311" s="98" t="str">
        <x:f>IF(N311="DRAFT INCLUDE",MOD(COUNTIF($N$6:N311,"DRAFT INCLUDE")-1,'Decision Summary'!$B$12)+1,"")</x:f>
      </x:c>
      <x:c r="R311" s="98" t="str">
        <x:v>PENDING</x:v>
      </x:c>
      <x:c r="S311" s="98" t="str"/>
      <x:c r="T311" s="98" t="str">
        <x:v>Ordinary EOA candidate; inclusion still depends on V1 deprecation, threshold policy and owner approval.</x:v>
      </x:c>
      <x:c r="U311" s="89" t="str">
        <x:v>https://etherscan.io/token/0x445d03f499f1c150615957bb87588fb465fc91cc#balances</x:v>
      </x:c>
      <x:c r="V311" s="89" t="b">
        <x:f>COUNTIF($C$6:$C$502,C311)&gt;1</x:f>
        <x:v>0</x:v>
      </x:c>
    </x:row>
    <x:row r="312">
      <x:c r="A312" s="89" t="n">
        <x:v>307</x:v>
      </x:c>
      <x:c r="B312" s="89" t="str">
        <x:v>v1-mainnet-0307</x:v>
      </x:c>
      <x:c r="C312" s="90" t="str">
        <x:v>0xb45b5f644cae8c75906e5d103249c6d82e9bbdac</x:v>
      </x:c>
      <x:c r="D312" s="98" t="str"/>
      <x:c r="E312" s="98" t="str">
        <x:v>EOA_CANDIDATE</x:v>
      </x:c>
      <x:c r="F312" s="91" t="b">
        <x:v>0</x:v>
      </x:c>
      <x:c r="G312" s="89" t="n">
        <x:v>0</x:v>
      </x:c>
      <x:c r="H312" s="90" t="str">
        <x:v>6133300000000</x:v>
      </x:c>
      <x:c r="I312" s="92" t="n">
        <x:v>6.1333</x:v>
      </x:c>
      <x:c r="J312" s="92" t="str">
        <x:v>6133300000000000000</x:v>
      </x:c>
      <x:c r="K312" s="92" t="n">
        <x:v>6.1333</x:v>
      </x:c>
      <x:c r="L312" s="98" t="str">
        <x:v>PENDING_OWNER_ELIGIBILITY_APPROVAL</x:v>
      </x:c>
      <x:c r="M312" s="98" t="b">
        <x:f>IF(E312="EOA_CANDIDATE",I312&gt;='Decision Summary'!$B$11,FALSE)</x:f>
        <x:v>0</x:v>
      </x:c>
      <x:c r="N312" s="98" t="str">
        <x:f>IF(M312,"DRAFT INCLUDE","HOLD / EXCLUDE")</x:f>
        <x:v>HOLD / EXCLUDE</x:v>
      </x:c>
      <x:c r="O312" s="101" t="str">
        <x:f>IF(M312,C312,"")</x:f>
      </x:c>
      <x:c r="P312" s="98" t="str">
        <x:f>IF(N312="DRAFT INCLUDE",ROUNDUP(COUNTIF($N$6:N312,"DRAFT INCLUDE")/'Decision Summary'!$B$12,0),"")</x:f>
      </x:c>
      <x:c r="Q312" s="98" t="str">
        <x:f>IF(N312="DRAFT INCLUDE",MOD(COUNTIF($N$6:N312,"DRAFT INCLUDE")-1,'Decision Summary'!$B$12)+1,"")</x:f>
      </x:c>
      <x:c r="R312" s="98" t="str">
        <x:v>PENDING</x:v>
      </x:c>
      <x:c r="S312" s="98" t="str"/>
      <x:c r="T312" s="98" t="str">
        <x:v>Ordinary EOA candidate; inclusion still depends on V1 deprecation, threshold policy and owner approval.</x:v>
      </x:c>
      <x:c r="U312" s="89" t="str">
        <x:v>https://etherscan.io/token/0x445d03f499f1c150615957bb87588fb465fc91cc#balances</x:v>
      </x:c>
      <x:c r="V312" s="89" t="b">
        <x:f>COUNTIF($C$6:$C$502,C312)&gt;1</x:f>
        <x:v>0</x:v>
      </x:c>
    </x:row>
    <x:row r="313">
      <x:c r="A313" s="89" t="n">
        <x:v>308</x:v>
      </x:c>
      <x:c r="B313" s="89" t="str">
        <x:v>v1-mainnet-0308</x:v>
      </x:c>
      <x:c r="C313" s="90" t="str">
        <x:v>0x2f6afd21a0ef261ee1e59401f6a8613449530712</x:v>
      </x:c>
      <x:c r="D313" s="98" t="str"/>
      <x:c r="E313" s="98" t="str">
        <x:v>EOA_CANDIDATE</x:v>
      </x:c>
      <x:c r="F313" s="91" t="b">
        <x:v>0</x:v>
      </x:c>
      <x:c r="G313" s="89" t="n">
        <x:v>0</x:v>
      </x:c>
      <x:c r="H313" s="90" t="str">
        <x:v>6133100000000</x:v>
      </x:c>
      <x:c r="I313" s="92" t="n">
        <x:v>6.1331</x:v>
      </x:c>
      <x:c r="J313" s="92" t="str">
        <x:v>6133100000000000000</x:v>
      </x:c>
      <x:c r="K313" s="92" t="n">
        <x:v>6.1331</x:v>
      </x:c>
      <x:c r="L313" s="98" t="str">
        <x:v>PENDING_OWNER_ELIGIBILITY_APPROVAL</x:v>
      </x:c>
      <x:c r="M313" s="98" t="b">
        <x:f>IF(E313="EOA_CANDIDATE",I313&gt;='Decision Summary'!$B$11,FALSE)</x:f>
        <x:v>0</x:v>
      </x:c>
      <x:c r="N313" s="98" t="str">
        <x:f>IF(M313,"DRAFT INCLUDE","HOLD / EXCLUDE")</x:f>
        <x:v>HOLD / EXCLUDE</x:v>
      </x:c>
      <x:c r="O313" s="101" t="str">
        <x:f>IF(M313,C313,"")</x:f>
      </x:c>
      <x:c r="P313" s="98" t="str">
        <x:f>IF(N313="DRAFT INCLUDE",ROUNDUP(COUNTIF($N$6:N313,"DRAFT INCLUDE")/'Decision Summary'!$B$12,0),"")</x:f>
      </x:c>
      <x:c r="Q313" s="98" t="str">
        <x:f>IF(N313="DRAFT INCLUDE",MOD(COUNTIF($N$6:N313,"DRAFT INCLUDE")-1,'Decision Summary'!$B$12)+1,"")</x:f>
      </x:c>
      <x:c r="R313" s="98" t="str">
        <x:v>PENDING</x:v>
      </x:c>
      <x:c r="S313" s="98" t="str"/>
      <x:c r="T313" s="98" t="str">
        <x:v>Ordinary EOA candidate; inclusion still depends on V1 deprecation, threshold policy and owner approval.</x:v>
      </x:c>
      <x:c r="U313" s="89" t="str">
        <x:v>https://etherscan.io/token/0x445d03f499f1c150615957bb87588fb465fc91cc#balances</x:v>
      </x:c>
      <x:c r="V313" s="89" t="b">
        <x:f>COUNTIF($C$6:$C$502,C313)&gt;1</x:f>
        <x:v>0</x:v>
      </x:c>
    </x:row>
    <x:row r="314">
      <x:c r="A314" s="89" t="n">
        <x:v>309</x:v>
      </x:c>
      <x:c r="B314" s="89" t="str">
        <x:v>v1-mainnet-0309</x:v>
      </x:c>
      <x:c r="C314" s="90" t="str">
        <x:v>0xadea0a59196893357d155b9444d918c2695c3009</x:v>
      </x:c>
      <x:c r="D314" s="98" t="str"/>
      <x:c r="E314" s="98" t="str">
        <x:v>EOA_CANDIDATE</x:v>
      </x:c>
      <x:c r="F314" s="91" t="b">
        <x:v>0</x:v>
      </x:c>
      <x:c r="G314" s="89" t="n">
        <x:v>0</x:v>
      </x:c>
      <x:c r="H314" s="90" t="str">
        <x:v>6131300000000</x:v>
      </x:c>
      <x:c r="I314" s="92" t="n">
        <x:v>6.1313</x:v>
      </x:c>
      <x:c r="J314" s="92" t="str">
        <x:v>6131300000000000000</x:v>
      </x:c>
      <x:c r="K314" s="92" t="n">
        <x:v>6.1313</x:v>
      </x:c>
      <x:c r="L314" s="98" t="str">
        <x:v>PENDING_OWNER_ELIGIBILITY_APPROVAL</x:v>
      </x:c>
      <x:c r="M314" s="98" t="b">
        <x:f>IF(E314="EOA_CANDIDATE",I314&gt;='Decision Summary'!$B$11,FALSE)</x:f>
        <x:v>0</x:v>
      </x:c>
      <x:c r="N314" s="98" t="str">
        <x:f>IF(M314,"DRAFT INCLUDE","HOLD / EXCLUDE")</x:f>
        <x:v>HOLD / EXCLUDE</x:v>
      </x:c>
      <x:c r="O314" s="101" t="str">
        <x:f>IF(M314,C314,"")</x:f>
      </x:c>
      <x:c r="P314" s="98" t="str">
        <x:f>IF(N314="DRAFT INCLUDE",ROUNDUP(COUNTIF($N$6:N314,"DRAFT INCLUDE")/'Decision Summary'!$B$12,0),"")</x:f>
      </x:c>
      <x:c r="Q314" s="98" t="str">
        <x:f>IF(N314="DRAFT INCLUDE",MOD(COUNTIF($N$6:N314,"DRAFT INCLUDE")-1,'Decision Summary'!$B$12)+1,"")</x:f>
      </x:c>
      <x:c r="R314" s="98" t="str">
        <x:v>PENDING</x:v>
      </x:c>
      <x:c r="S314" s="98" t="str"/>
      <x:c r="T314" s="98" t="str">
        <x:v>Ordinary EOA candidate; inclusion still depends on V1 deprecation, threshold policy and owner approval.</x:v>
      </x:c>
      <x:c r="U314" s="89" t="str">
        <x:v>https://etherscan.io/token/0x445d03f499f1c150615957bb87588fb465fc91cc#balances</x:v>
      </x:c>
      <x:c r="V314" s="89" t="b">
        <x:f>COUNTIF($C$6:$C$502,C314)&gt;1</x:f>
        <x:v>0</x:v>
      </x:c>
    </x:row>
    <x:row r="315">
      <x:c r="A315" s="89" t="n">
        <x:v>310</x:v>
      </x:c>
      <x:c r="B315" s="89" t="str">
        <x:v>v1-mainnet-0310</x:v>
      </x:c>
      <x:c r="C315" s="90" t="str">
        <x:v>0x78056161fbef3fadf9074754810ee120ad5b2444</x:v>
      </x:c>
      <x:c r="D315" s="98" t="str"/>
      <x:c r="E315" s="98" t="str">
        <x:v>EOA_CANDIDATE</x:v>
      </x:c>
      <x:c r="F315" s="91" t="b">
        <x:v>0</x:v>
      </x:c>
      <x:c r="G315" s="89" t="n">
        <x:v>0</x:v>
      </x:c>
      <x:c r="H315" s="90" t="str">
        <x:v>6125700000000</x:v>
      </x:c>
      <x:c r="I315" s="92" t="n">
        <x:v>6.1257</x:v>
      </x:c>
      <x:c r="J315" s="92" t="str">
        <x:v>6125700000000000000</x:v>
      </x:c>
      <x:c r="K315" s="92" t="n">
        <x:v>6.1257</x:v>
      </x:c>
      <x:c r="L315" s="98" t="str">
        <x:v>PENDING_OWNER_ELIGIBILITY_APPROVAL</x:v>
      </x:c>
      <x:c r="M315" s="98" t="b">
        <x:f>IF(E315="EOA_CANDIDATE",I315&gt;='Decision Summary'!$B$11,FALSE)</x:f>
        <x:v>0</x:v>
      </x:c>
      <x:c r="N315" s="98" t="str">
        <x:f>IF(M315,"DRAFT INCLUDE","HOLD / EXCLUDE")</x:f>
        <x:v>HOLD / EXCLUDE</x:v>
      </x:c>
      <x:c r="O315" s="101" t="str">
        <x:f>IF(M315,C315,"")</x:f>
      </x:c>
      <x:c r="P315" s="98" t="str">
        <x:f>IF(N315="DRAFT INCLUDE",ROUNDUP(COUNTIF($N$6:N315,"DRAFT INCLUDE")/'Decision Summary'!$B$12,0),"")</x:f>
      </x:c>
      <x:c r="Q315" s="98" t="str">
        <x:f>IF(N315="DRAFT INCLUDE",MOD(COUNTIF($N$6:N315,"DRAFT INCLUDE")-1,'Decision Summary'!$B$12)+1,"")</x:f>
      </x:c>
      <x:c r="R315" s="98" t="str">
        <x:v>PENDING</x:v>
      </x:c>
      <x:c r="S315" s="98" t="str"/>
      <x:c r="T315" s="98" t="str">
        <x:v>Ordinary EOA candidate; inclusion still depends on V1 deprecation, threshold policy and owner approval.</x:v>
      </x:c>
      <x:c r="U315" s="89" t="str">
        <x:v>https://etherscan.io/token/0x445d03f499f1c150615957bb87588fb465fc91cc#balances</x:v>
      </x:c>
      <x:c r="V315" s="89" t="b">
        <x:f>COUNTIF($C$6:$C$502,C315)&gt;1</x:f>
        <x:v>0</x:v>
      </x:c>
    </x:row>
    <x:row r="316">
      <x:c r="A316" s="89" t="n">
        <x:v>311</x:v>
      </x:c>
      <x:c r="B316" s="89" t="str">
        <x:v>v1-mainnet-0311</x:v>
      </x:c>
      <x:c r="C316" s="90" t="str">
        <x:v>0x8e2fcac67274207213c0c26404b0289eca3985ed</x:v>
      </x:c>
      <x:c r="D316" s="98" t="str"/>
      <x:c r="E316" s="98" t="str">
        <x:v>EOA_CANDIDATE</x:v>
      </x:c>
      <x:c r="F316" s="91" t="b">
        <x:v>0</x:v>
      </x:c>
      <x:c r="G316" s="89" t="n">
        <x:v>0</x:v>
      </x:c>
      <x:c r="H316" s="90" t="str">
        <x:v>6122200000000</x:v>
      </x:c>
      <x:c r="I316" s="92" t="n">
        <x:v>6.1222</x:v>
      </x:c>
      <x:c r="J316" s="92" t="str">
        <x:v>6122200000000000000</x:v>
      </x:c>
      <x:c r="K316" s="92" t="n">
        <x:v>6.1222</x:v>
      </x:c>
      <x:c r="L316" s="98" t="str">
        <x:v>PENDING_OWNER_ELIGIBILITY_APPROVAL</x:v>
      </x:c>
      <x:c r="M316" s="98" t="b">
        <x:f>IF(E316="EOA_CANDIDATE",I316&gt;='Decision Summary'!$B$11,FALSE)</x:f>
        <x:v>0</x:v>
      </x:c>
      <x:c r="N316" s="98" t="str">
        <x:f>IF(M316,"DRAFT INCLUDE","HOLD / EXCLUDE")</x:f>
        <x:v>HOLD / EXCLUDE</x:v>
      </x:c>
      <x:c r="O316" s="101" t="str">
        <x:f>IF(M316,C316,"")</x:f>
      </x:c>
      <x:c r="P316" s="98" t="str">
        <x:f>IF(N316="DRAFT INCLUDE",ROUNDUP(COUNTIF($N$6:N316,"DRAFT INCLUDE")/'Decision Summary'!$B$12,0),"")</x:f>
      </x:c>
      <x:c r="Q316" s="98" t="str">
        <x:f>IF(N316="DRAFT INCLUDE",MOD(COUNTIF($N$6:N316,"DRAFT INCLUDE")-1,'Decision Summary'!$B$12)+1,"")</x:f>
      </x:c>
      <x:c r="R316" s="98" t="str">
        <x:v>PENDING</x:v>
      </x:c>
      <x:c r="S316" s="98" t="str"/>
      <x:c r="T316" s="98" t="str">
        <x:v>Ordinary EOA candidate; inclusion still depends on V1 deprecation, threshold policy and owner approval.</x:v>
      </x:c>
      <x:c r="U316" s="89" t="str">
        <x:v>https://etherscan.io/token/0x445d03f499f1c150615957bb87588fb465fc91cc#balances</x:v>
      </x:c>
      <x:c r="V316" s="89" t="b">
        <x:f>COUNTIF($C$6:$C$502,C316)&gt;1</x:f>
        <x:v>0</x:v>
      </x:c>
    </x:row>
    <x:row r="317">
      <x:c r="A317" s="89" t="n">
        <x:v>312</x:v>
      </x:c>
      <x:c r="B317" s="89" t="str">
        <x:v>v1-mainnet-0312</x:v>
      </x:c>
      <x:c r="C317" s="90" t="str">
        <x:v>0x0c12708ba4a1351f028763d326ba17924472dbc2</x:v>
      </x:c>
      <x:c r="D317" s="98" t="str"/>
      <x:c r="E317" s="98" t="str">
        <x:v>EOA_CANDIDATE</x:v>
      </x:c>
      <x:c r="F317" s="91" t="b">
        <x:v>0</x:v>
      </x:c>
      <x:c r="G317" s="89" t="n">
        <x:v>0</x:v>
      </x:c>
      <x:c r="H317" s="90" t="str">
        <x:v>6115200000000</x:v>
      </x:c>
      <x:c r="I317" s="92" t="n">
        <x:v>6.1152</x:v>
      </x:c>
      <x:c r="J317" s="92" t="str">
        <x:v>6115200000000000000</x:v>
      </x:c>
      <x:c r="K317" s="92" t="n">
        <x:v>6.1152</x:v>
      </x:c>
      <x:c r="L317" s="98" t="str">
        <x:v>PENDING_OWNER_ELIGIBILITY_APPROVAL</x:v>
      </x:c>
      <x:c r="M317" s="98" t="b">
        <x:f>IF(E317="EOA_CANDIDATE",I317&gt;='Decision Summary'!$B$11,FALSE)</x:f>
        <x:v>0</x:v>
      </x:c>
      <x:c r="N317" s="98" t="str">
        <x:f>IF(M317,"DRAFT INCLUDE","HOLD / EXCLUDE")</x:f>
        <x:v>HOLD / EXCLUDE</x:v>
      </x:c>
      <x:c r="O317" s="101" t="str">
        <x:f>IF(M317,C317,"")</x:f>
      </x:c>
      <x:c r="P317" s="98" t="str">
        <x:f>IF(N317="DRAFT INCLUDE",ROUNDUP(COUNTIF($N$6:N317,"DRAFT INCLUDE")/'Decision Summary'!$B$12,0),"")</x:f>
      </x:c>
      <x:c r="Q317" s="98" t="str">
        <x:f>IF(N317="DRAFT INCLUDE",MOD(COUNTIF($N$6:N317,"DRAFT INCLUDE")-1,'Decision Summary'!$B$12)+1,"")</x:f>
      </x:c>
      <x:c r="R317" s="98" t="str">
        <x:v>PENDING</x:v>
      </x:c>
      <x:c r="S317" s="98" t="str"/>
      <x:c r="T317" s="98" t="str">
        <x:v>Ordinary EOA candidate; inclusion still depends on V1 deprecation, threshold policy and owner approval.</x:v>
      </x:c>
      <x:c r="U317" s="89" t="str">
        <x:v>https://etherscan.io/token/0x445d03f499f1c150615957bb87588fb465fc91cc#balances</x:v>
      </x:c>
      <x:c r="V317" s="89" t="b">
        <x:f>COUNTIF($C$6:$C$502,C317)&gt;1</x:f>
        <x:v>0</x:v>
      </x:c>
    </x:row>
    <x:row r="318">
      <x:c r="A318" s="89" t="n">
        <x:v>313</x:v>
      </x:c>
      <x:c r="B318" s="89" t="str">
        <x:v>v1-mainnet-0313</x:v>
      </x:c>
      <x:c r="C318" s="90" t="str">
        <x:v>0x6a6b4a61d88f7a8313584cb03f4ed2ee032ff918</x:v>
      </x:c>
      <x:c r="D318" s="98" t="str"/>
      <x:c r="E318" s="98" t="str">
        <x:v>EOA_CANDIDATE</x:v>
      </x:c>
      <x:c r="F318" s="91" t="b">
        <x:v>0</x:v>
      </x:c>
      <x:c r="G318" s="89" t="n">
        <x:v>0</x:v>
      </x:c>
      <x:c r="H318" s="90" t="str">
        <x:v>6084400000000</x:v>
      </x:c>
      <x:c r="I318" s="92" t="n">
        <x:v>6.0844</x:v>
      </x:c>
      <x:c r="J318" s="92" t="str">
        <x:v>6084400000000000000</x:v>
      </x:c>
      <x:c r="K318" s="92" t="n">
        <x:v>6.0844</x:v>
      </x:c>
      <x:c r="L318" s="98" t="str">
        <x:v>PENDING_OWNER_ELIGIBILITY_APPROVAL</x:v>
      </x:c>
      <x:c r="M318" s="98" t="b">
        <x:f>IF(E318="EOA_CANDIDATE",I318&gt;='Decision Summary'!$B$11,FALSE)</x:f>
        <x:v>0</x:v>
      </x:c>
      <x:c r="N318" s="98" t="str">
        <x:f>IF(M318,"DRAFT INCLUDE","HOLD / EXCLUDE")</x:f>
        <x:v>HOLD / EXCLUDE</x:v>
      </x:c>
      <x:c r="O318" s="101" t="str">
        <x:f>IF(M318,C318,"")</x:f>
      </x:c>
      <x:c r="P318" s="98" t="str">
        <x:f>IF(N318="DRAFT INCLUDE",ROUNDUP(COUNTIF($N$6:N318,"DRAFT INCLUDE")/'Decision Summary'!$B$12,0),"")</x:f>
      </x:c>
      <x:c r="Q318" s="98" t="str">
        <x:f>IF(N318="DRAFT INCLUDE",MOD(COUNTIF($N$6:N318,"DRAFT INCLUDE")-1,'Decision Summary'!$B$12)+1,"")</x:f>
      </x:c>
      <x:c r="R318" s="98" t="str">
        <x:v>PENDING</x:v>
      </x:c>
      <x:c r="S318" s="98" t="str"/>
      <x:c r="T318" s="98" t="str">
        <x:v>Ordinary EOA candidate; inclusion still depends on V1 deprecation, threshold policy and owner approval.</x:v>
      </x:c>
      <x:c r="U318" s="89" t="str">
        <x:v>https://etherscan.io/token/0x445d03f499f1c150615957bb87588fb465fc91cc#balances</x:v>
      </x:c>
      <x:c r="V318" s="89" t="b">
        <x:f>COUNTIF($C$6:$C$502,C318)&gt;1</x:f>
        <x:v>0</x:v>
      </x:c>
    </x:row>
    <x:row r="319">
      <x:c r="A319" s="89" t="n">
        <x:v>314</x:v>
      </x:c>
      <x:c r="B319" s="89" t="str">
        <x:v>v1-mainnet-0314</x:v>
      </x:c>
      <x:c r="C319" s="90" t="str">
        <x:v>0xf4552494355163c0e51a7c855f4c2830f78beb3b</x:v>
      </x:c>
      <x:c r="D319" s="98" t="str"/>
      <x:c r="E319" s="98" t="str">
        <x:v>EOA_CANDIDATE</x:v>
      </x:c>
      <x:c r="F319" s="91" t="b">
        <x:v>0</x:v>
      </x:c>
      <x:c r="G319" s="89" t="n">
        <x:v>0</x:v>
      </x:c>
      <x:c r="H319" s="90" t="str">
        <x:v>6077500000000</x:v>
      </x:c>
      <x:c r="I319" s="92" t="n">
        <x:v>6.0775</x:v>
      </x:c>
      <x:c r="J319" s="92" t="str">
        <x:v>6077500000000000000</x:v>
      </x:c>
      <x:c r="K319" s="92" t="n">
        <x:v>6.0775</x:v>
      </x:c>
      <x:c r="L319" s="98" t="str">
        <x:v>PENDING_OWNER_ELIGIBILITY_APPROVAL</x:v>
      </x:c>
      <x:c r="M319" s="98" t="b">
        <x:f>IF(E319="EOA_CANDIDATE",I319&gt;='Decision Summary'!$B$11,FALSE)</x:f>
        <x:v>0</x:v>
      </x:c>
      <x:c r="N319" s="98" t="str">
        <x:f>IF(M319,"DRAFT INCLUDE","HOLD / EXCLUDE")</x:f>
        <x:v>HOLD / EXCLUDE</x:v>
      </x:c>
      <x:c r="O319" s="101" t="str">
        <x:f>IF(M319,C319,"")</x:f>
      </x:c>
      <x:c r="P319" s="98" t="str">
        <x:f>IF(N319="DRAFT INCLUDE",ROUNDUP(COUNTIF($N$6:N319,"DRAFT INCLUDE")/'Decision Summary'!$B$12,0),"")</x:f>
      </x:c>
      <x:c r="Q319" s="98" t="str">
        <x:f>IF(N319="DRAFT INCLUDE",MOD(COUNTIF($N$6:N319,"DRAFT INCLUDE")-1,'Decision Summary'!$B$12)+1,"")</x:f>
      </x:c>
      <x:c r="R319" s="98" t="str">
        <x:v>PENDING</x:v>
      </x:c>
      <x:c r="S319" s="98" t="str"/>
      <x:c r="T319" s="98" t="str">
        <x:v>Ordinary EOA candidate; inclusion still depends on V1 deprecation, threshold policy and owner approval.</x:v>
      </x:c>
      <x:c r="U319" s="89" t="str">
        <x:v>https://etherscan.io/token/0x445d03f499f1c150615957bb87588fb465fc91cc#balances</x:v>
      </x:c>
      <x:c r="V319" s="89" t="b">
        <x:f>COUNTIF($C$6:$C$502,C319)&gt;1</x:f>
        <x:v>0</x:v>
      </x:c>
    </x:row>
    <x:row r="320">
      <x:c r="A320" s="89" t="n">
        <x:v>315</x:v>
      </x:c>
      <x:c r="B320" s="89" t="str">
        <x:v>v1-mainnet-0315</x:v>
      </x:c>
      <x:c r="C320" s="90" t="str">
        <x:v>0xb9c46dfaa750be083fa46f9f7c7ab66cbfbd3a2f</x:v>
      </x:c>
      <x:c r="D320" s="98" t="str"/>
      <x:c r="E320" s="98" t="str">
        <x:v>EOA_CANDIDATE</x:v>
      </x:c>
      <x:c r="F320" s="91" t="b">
        <x:v>0</x:v>
      </x:c>
      <x:c r="G320" s="89" t="n">
        <x:v>0</x:v>
      </x:c>
      <x:c r="H320" s="90" t="str">
        <x:v>6070300000000</x:v>
      </x:c>
      <x:c r="I320" s="92" t="n">
        <x:v>6.0703</x:v>
      </x:c>
      <x:c r="J320" s="92" t="str">
        <x:v>6070300000000000000</x:v>
      </x:c>
      <x:c r="K320" s="92" t="n">
        <x:v>6.0703</x:v>
      </x:c>
      <x:c r="L320" s="98" t="str">
        <x:v>PENDING_OWNER_ELIGIBILITY_APPROVAL</x:v>
      </x:c>
      <x:c r="M320" s="98" t="b">
        <x:f>IF(E320="EOA_CANDIDATE",I320&gt;='Decision Summary'!$B$11,FALSE)</x:f>
        <x:v>0</x:v>
      </x:c>
      <x:c r="N320" s="98" t="str">
        <x:f>IF(M320,"DRAFT INCLUDE","HOLD / EXCLUDE")</x:f>
        <x:v>HOLD / EXCLUDE</x:v>
      </x:c>
      <x:c r="O320" s="101" t="str">
        <x:f>IF(M320,C320,"")</x:f>
      </x:c>
      <x:c r="P320" s="98" t="str">
        <x:f>IF(N320="DRAFT INCLUDE",ROUNDUP(COUNTIF($N$6:N320,"DRAFT INCLUDE")/'Decision Summary'!$B$12,0),"")</x:f>
      </x:c>
      <x:c r="Q320" s="98" t="str">
        <x:f>IF(N320="DRAFT INCLUDE",MOD(COUNTIF($N$6:N320,"DRAFT INCLUDE")-1,'Decision Summary'!$B$12)+1,"")</x:f>
      </x:c>
      <x:c r="R320" s="98" t="str">
        <x:v>PENDING</x:v>
      </x:c>
      <x:c r="S320" s="98" t="str"/>
      <x:c r="T320" s="98" t="str">
        <x:v>Ordinary EOA candidate; inclusion still depends on V1 deprecation, threshold policy and owner approval.</x:v>
      </x:c>
      <x:c r="U320" s="89" t="str">
        <x:v>https://etherscan.io/token/0x445d03f499f1c150615957bb87588fb465fc91cc#balances</x:v>
      </x:c>
      <x:c r="V320" s="89" t="b">
        <x:f>COUNTIF($C$6:$C$502,C320)&gt;1</x:f>
        <x:v>0</x:v>
      </x:c>
    </x:row>
    <x:row r="321">
      <x:c r="A321" s="89" t="n">
        <x:v>316</x:v>
      </x:c>
      <x:c r="B321" s="89" t="str">
        <x:v>v1-mainnet-0316</x:v>
      </x:c>
      <x:c r="C321" s="90" t="str">
        <x:v>0xde52eda3d08707c8d04c8cdf6a5d18dd549968c7</x:v>
      </x:c>
      <x:c r="D321" s="98" t="str"/>
      <x:c r="E321" s="98" t="str">
        <x:v>EOA_CANDIDATE</x:v>
      </x:c>
      <x:c r="F321" s="91" t="b">
        <x:v>0</x:v>
      </x:c>
      <x:c r="G321" s="89" t="n">
        <x:v>0</x:v>
      </x:c>
      <x:c r="H321" s="90" t="str">
        <x:v>6041600000000</x:v>
      </x:c>
      <x:c r="I321" s="92" t="n">
        <x:v>6.0416</x:v>
      </x:c>
      <x:c r="J321" s="92" t="str">
        <x:v>6041600000000000000</x:v>
      </x:c>
      <x:c r="K321" s="92" t="n">
        <x:v>6.0416</x:v>
      </x:c>
      <x:c r="L321" s="98" t="str">
        <x:v>PENDING_OWNER_ELIGIBILITY_APPROVAL</x:v>
      </x:c>
      <x:c r="M321" s="98" t="b">
        <x:f>IF(E321="EOA_CANDIDATE",I321&gt;='Decision Summary'!$B$11,FALSE)</x:f>
        <x:v>0</x:v>
      </x:c>
      <x:c r="N321" s="98" t="str">
        <x:f>IF(M321,"DRAFT INCLUDE","HOLD / EXCLUDE")</x:f>
        <x:v>HOLD / EXCLUDE</x:v>
      </x:c>
      <x:c r="O321" s="101" t="str">
        <x:f>IF(M321,C321,"")</x:f>
      </x:c>
      <x:c r="P321" s="98" t="str">
        <x:f>IF(N321="DRAFT INCLUDE",ROUNDUP(COUNTIF($N$6:N321,"DRAFT INCLUDE")/'Decision Summary'!$B$12,0),"")</x:f>
      </x:c>
      <x:c r="Q321" s="98" t="str">
        <x:f>IF(N321="DRAFT INCLUDE",MOD(COUNTIF($N$6:N321,"DRAFT INCLUDE")-1,'Decision Summary'!$B$12)+1,"")</x:f>
      </x:c>
      <x:c r="R321" s="98" t="str">
        <x:v>PENDING</x:v>
      </x:c>
      <x:c r="S321" s="98" t="str"/>
      <x:c r="T321" s="98" t="str">
        <x:v>Ordinary EOA candidate; inclusion still depends on V1 deprecation, threshold policy and owner approval.</x:v>
      </x:c>
      <x:c r="U321" s="89" t="str">
        <x:v>https://etherscan.io/token/0x445d03f499f1c150615957bb87588fb465fc91cc#balances</x:v>
      </x:c>
      <x:c r="V321" s="89" t="b">
        <x:f>COUNTIF($C$6:$C$502,C321)&gt;1</x:f>
        <x:v>0</x:v>
      </x:c>
    </x:row>
    <x:row r="322">
      <x:c r="A322" s="89" t="n">
        <x:v>317</x:v>
      </x:c>
      <x:c r="B322" s="89" t="str">
        <x:v>v1-mainnet-0317</x:v>
      </x:c>
      <x:c r="C322" s="90" t="str">
        <x:v>0x6900094305b42796cbdef6c856b2735728363959</x:v>
      </x:c>
      <x:c r="D322" s="98" t="str"/>
      <x:c r="E322" s="98" t="str">
        <x:v>EOA_CANDIDATE</x:v>
      </x:c>
      <x:c r="F322" s="91" t="b">
        <x:v>0</x:v>
      </x:c>
      <x:c r="G322" s="89" t="n">
        <x:v>0</x:v>
      </x:c>
      <x:c r="H322" s="90" t="str">
        <x:v>6033300000000</x:v>
      </x:c>
      <x:c r="I322" s="92" t="n">
        <x:v>6.0333</x:v>
      </x:c>
      <x:c r="J322" s="92" t="str">
        <x:v>6033300000000000000</x:v>
      </x:c>
      <x:c r="K322" s="92" t="n">
        <x:v>6.0333</x:v>
      </x:c>
      <x:c r="L322" s="98" t="str">
        <x:v>PENDING_OWNER_ELIGIBILITY_APPROVAL</x:v>
      </x:c>
      <x:c r="M322" s="98" t="b">
        <x:f>IF(E322="EOA_CANDIDATE",I322&gt;='Decision Summary'!$B$11,FALSE)</x:f>
        <x:v>0</x:v>
      </x:c>
      <x:c r="N322" s="98" t="str">
        <x:f>IF(M322,"DRAFT INCLUDE","HOLD / EXCLUDE")</x:f>
        <x:v>HOLD / EXCLUDE</x:v>
      </x:c>
      <x:c r="O322" s="101" t="str">
        <x:f>IF(M322,C322,"")</x:f>
      </x:c>
      <x:c r="P322" s="98" t="str">
        <x:f>IF(N322="DRAFT INCLUDE",ROUNDUP(COUNTIF($N$6:N322,"DRAFT INCLUDE")/'Decision Summary'!$B$12,0),"")</x:f>
      </x:c>
      <x:c r="Q322" s="98" t="str">
        <x:f>IF(N322="DRAFT INCLUDE",MOD(COUNTIF($N$6:N322,"DRAFT INCLUDE")-1,'Decision Summary'!$B$12)+1,"")</x:f>
      </x:c>
      <x:c r="R322" s="98" t="str">
        <x:v>PENDING</x:v>
      </x:c>
      <x:c r="S322" s="98" t="str"/>
      <x:c r="T322" s="98" t="str">
        <x:v>Ordinary EOA candidate; inclusion still depends on V1 deprecation, threshold policy and owner approval.</x:v>
      </x:c>
      <x:c r="U322" s="89" t="str">
        <x:v>https://etherscan.io/token/0x445d03f499f1c150615957bb87588fb465fc91cc#balances</x:v>
      </x:c>
      <x:c r="V322" s="89" t="b">
        <x:f>COUNTIF($C$6:$C$502,C322)&gt;1</x:f>
        <x:v>0</x:v>
      </x:c>
    </x:row>
    <x:row r="323">
      <x:c r="A323" s="89" t="n">
        <x:v>318</x:v>
      </x:c>
      <x:c r="B323" s="89" t="str">
        <x:v>v1-mainnet-0318</x:v>
      </x:c>
      <x:c r="C323" s="90" t="str">
        <x:v>0x5d100867d76ca56b2ea842e9836c8fb9c3ad9e3b</x:v>
      </x:c>
      <x:c r="D323" s="98" t="str"/>
      <x:c r="E323" s="98" t="str">
        <x:v>EOA_CANDIDATE</x:v>
      </x:c>
      <x:c r="F323" s="91" t="b">
        <x:v>0</x:v>
      </x:c>
      <x:c r="G323" s="89" t="n">
        <x:v>0</x:v>
      </x:c>
      <x:c r="H323" s="90" t="str">
        <x:v>5983900000000</x:v>
      </x:c>
      <x:c r="I323" s="92" t="n">
        <x:v>5.9839</x:v>
      </x:c>
      <x:c r="J323" s="92" t="str">
        <x:v>5983900000000000000</x:v>
      </x:c>
      <x:c r="K323" s="92" t="n">
        <x:v>5.9839</x:v>
      </x:c>
      <x:c r="L323" s="98" t="str">
        <x:v>PENDING_OWNER_ELIGIBILITY_APPROVAL</x:v>
      </x:c>
      <x:c r="M323" s="98" t="b">
        <x:f>IF(E323="EOA_CANDIDATE",I323&gt;='Decision Summary'!$B$11,FALSE)</x:f>
        <x:v>0</x:v>
      </x:c>
      <x:c r="N323" s="98" t="str">
        <x:f>IF(M323,"DRAFT INCLUDE","HOLD / EXCLUDE")</x:f>
        <x:v>HOLD / EXCLUDE</x:v>
      </x:c>
      <x:c r="O323" s="101" t="str">
        <x:f>IF(M323,C323,"")</x:f>
      </x:c>
      <x:c r="P323" s="98" t="str">
        <x:f>IF(N323="DRAFT INCLUDE",ROUNDUP(COUNTIF($N$6:N323,"DRAFT INCLUDE")/'Decision Summary'!$B$12,0),"")</x:f>
      </x:c>
      <x:c r="Q323" s="98" t="str">
        <x:f>IF(N323="DRAFT INCLUDE",MOD(COUNTIF($N$6:N323,"DRAFT INCLUDE")-1,'Decision Summary'!$B$12)+1,"")</x:f>
      </x:c>
      <x:c r="R323" s="98" t="str">
        <x:v>PENDING</x:v>
      </x:c>
      <x:c r="S323" s="98" t="str"/>
      <x:c r="T323" s="98" t="str">
        <x:v>Ordinary EOA candidate; inclusion still depends on V1 deprecation, threshold policy and owner approval.</x:v>
      </x:c>
      <x:c r="U323" s="89" t="str">
        <x:v>https://etherscan.io/token/0x445d03f499f1c150615957bb87588fb465fc91cc#balances</x:v>
      </x:c>
      <x:c r="V323" s="89" t="b">
        <x:f>COUNTIF($C$6:$C$502,C323)&gt;1</x:f>
        <x:v>0</x:v>
      </x:c>
    </x:row>
    <x:row r="324">
      <x:c r="A324" s="89" t="n">
        <x:v>319</x:v>
      </x:c>
      <x:c r="B324" s="89" t="str">
        <x:v>v1-mainnet-0319</x:v>
      </x:c>
      <x:c r="C324" s="90" t="str">
        <x:v>0x6b71aab56f94d71be942544c2fc586aadbf288e8</x:v>
      </x:c>
      <x:c r="D324" s="98" t="str"/>
      <x:c r="E324" s="98" t="str">
        <x:v>EOA_CANDIDATE</x:v>
      </x:c>
      <x:c r="F324" s="91" t="b">
        <x:v>0</x:v>
      </x:c>
      <x:c r="G324" s="89" t="n">
        <x:v>0</x:v>
      </x:c>
      <x:c r="H324" s="90" t="str">
        <x:v>5966600000000</x:v>
      </x:c>
      <x:c r="I324" s="92" t="n">
        <x:v>5.9666</x:v>
      </x:c>
      <x:c r="J324" s="92" t="str">
        <x:v>5966600000000000000</x:v>
      </x:c>
      <x:c r="K324" s="92" t="n">
        <x:v>5.9666</x:v>
      </x:c>
      <x:c r="L324" s="98" t="str">
        <x:v>PENDING_OWNER_ELIGIBILITY_APPROVAL</x:v>
      </x:c>
      <x:c r="M324" s="98" t="b">
        <x:f>IF(E324="EOA_CANDIDATE",I324&gt;='Decision Summary'!$B$11,FALSE)</x:f>
        <x:v>0</x:v>
      </x:c>
      <x:c r="N324" s="98" t="str">
        <x:f>IF(M324,"DRAFT INCLUDE","HOLD / EXCLUDE")</x:f>
        <x:v>HOLD / EXCLUDE</x:v>
      </x:c>
      <x:c r="O324" s="101" t="str">
        <x:f>IF(M324,C324,"")</x:f>
      </x:c>
      <x:c r="P324" s="98" t="str">
        <x:f>IF(N324="DRAFT INCLUDE",ROUNDUP(COUNTIF($N$6:N324,"DRAFT INCLUDE")/'Decision Summary'!$B$12,0),"")</x:f>
      </x:c>
      <x:c r="Q324" s="98" t="str">
        <x:f>IF(N324="DRAFT INCLUDE",MOD(COUNTIF($N$6:N324,"DRAFT INCLUDE")-1,'Decision Summary'!$B$12)+1,"")</x:f>
      </x:c>
      <x:c r="R324" s="98" t="str">
        <x:v>PENDING</x:v>
      </x:c>
      <x:c r="S324" s="98" t="str"/>
      <x:c r="T324" s="98" t="str">
        <x:v>Ordinary EOA candidate; inclusion still depends on V1 deprecation, threshold policy and owner approval.</x:v>
      </x:c>
      <x:c r="U324" s="89" t="str">
        <x:v>https://etherscan.io/token/0x445d03f499f1c150615957bb87588fb465fc91cc#balances</x:v>
      </x:c>
      <x:c r="V324" s="89" t="b">
        <x:f>COUNTIF($C$6:$C$502,C324)&gt;1</x:f>
        <x:v>0</x:v>
      </x:c>
    </x:row>
    <x:row r="325">
      <x:c r="A325" s="89" t="n">
        <x:v>320</x:v>
      </x:c>
      <x:c r="B325" s="89" t="str">
        <x:v>v1-mainnet-0320</x:v>
      </x:c>
      <x:c r="C325" s="90" t="str">
        <x:v>0x49c70ff97851dd9aaf7ea27b850fb2fe975673f7</x:v>
      </x:c>
      <x:c r="D325" s="98" t="str"/>
      <x:c r="E325" s="98" t="str">
        <x:v>EOA_CANDIDATE</x:v>
      </x:c>
      <x:c r="F325" s="91" t="b">
        <x:v>0</x:v>
      </x:c>
      <x:c r="G325" s="89" t="n">
        <x:v>0</x:v>
      </x:c>
      <x:c r="H325" s="90" t="str">
        <x:v>5964700000000</x:v>
      </x:c>
      <x:c r="I325" s="92" t="n">
        <x:v>5.9647</x:v>
      </x:c>
      <x:c r="J325" s="92" t="str">
        <x:v>5964700000000000000</x:v>
      </x:c>
      <x:c r="K325" s="92" t="n">
        <x:v>5.9647</x:v>
      </x:c>
      <x:c r="L325" s="98" t="str">
        <x:v>PENDING_OWNER_ELIGIBILITY_APPROVAL</x:v>
      </x:c>
      <x:c r="M325" s="98" t="b">
        <x:f>IF(E325="EOA_CANDIDATE",I325&gt;='Decision Summary'!$B$11,FALSE)</x:f>
        <x:v>0</x:v>
      </x:c>
      <x:c r="N325" s="98" t="str">
        <x:f>IF(M325,"DRAFT INCLUDE","HOLD / EXCLUDE")</x:f>
        <x:v>HOLD / EXCLUDE</x:v>
      </x:c>
      <x:c r="O325" s="101" t="str">
        <x:f>IF(M325,C325,"")</x:f>
      </x:c>
      <x:c r="P325" s="98" t="str">
        <x:f>IF(N325="DRAFT INCLUDE",ROUNDUP(COUNTIF($N$6:N325,"DRAFT INCLUDE")/'Decision Summary'!$B$12,0),"")</x:f>
      </x:c>
      <x:c r="Q325" s="98" t="str">
        <x:f>IF(N325="DRAFT INCLUDE",MOD(COUNTIF($N$6:N325,"DRAFT INCLUDE")-1,'Decision Summary'!$B$12)+1,"")</x:f>
      </x:c>
      <x:c r="R325" s="98" t="str">
        <x:v>PENDING</x:v>
      </x:c>
      <x:c r="S325" s="98" t="str"/>
      <x:c r="T325" s="98" t="str">
        <x:v>Ordinary EOA candidate; inclusion still depends on V1 deprecation, threshold policy and owner approval.</x:v>
      </x:c>
      <x:c r="U325" s="89" t="str">
        <x:v>https://etherscan.io/token/0x445d03f499f1c150615957bb87588fb465fc91cc#balances</x:v>
      </x:c>
      <x:c r="V325" s="89" t="b">
        <x:f>COUNTIF($C$6:$C$502,C325)&gt;1</x:f>
        <x:v>0</x:v>
      </x:c>
    </x:row>
    <x:row r="326">
      <x:c r="A326" s="89" t="n">
        <x:v>321</x:v>
      </x:c>
      <x:c r="B326" s="89" t="str">
        <x:v>v1-mainnet-0321</x:v>
      </x:c>
      <x:c r="C326" s="90" t="str">
        <x:v>0xc48e39f3d7005a970d595da2f946c5a6da7b3ea3</x:v>
      </x:c>
      <x:c r="D326" s="98" t="str"/>
      <x:c r="E326" s="98" t="str">
        <x:v>EOA_CANDIDATE</x:v>
      </x:c>
      <x:c r="F326" s="91" t="b">
        <x:v>0</x:v>
      </x:c>
      <x:c r="G326" s="89" t="n">
        <x:v>0</x:v>
      </x:c>
      <x:c r="H326" s="90" t="str">
        <x:v>5938100000000</x:v>
      </x:c>
      <x:c r="I326" s="92" t="n">
        <x:v>5.9381</x:v>
      </x:c>
      <x:c r="J326" s="92" t="str">
        <x:v>5938100000000000000</x:v>
      </x:c>
      <x:c r="K326" s="92" t="n">
        <x:v>5.9381</x:v>
      </x:c>
      <x:c r="L326" s="98" t="str">
        <x:v>PENDING_OWNER_ELIGIBILITY_APPROVAL</x:v>
      </x:c>
      <x:c r="M326" s="98" t="b">
        <x:f>IF(E326="EOA_CANDIDATE",I326&gt;='Decision Summary'!$B$11,FALSE)</x:f>
        <x:v>0</x:v>
      </x:c>
      <x:c r="N326" s="98" t="str">
        <x:f>IF(M326,"DRAFT INCLUDE","HOLD / EXCLUDE")</x:f>
        <x:v>HOLD / EXCLUDE</x:v>
      </x:c>
      <x:c r="O326" s="101" t="str">
        <x:f>IF(M326,C326,"")</x:f>
      </x:c>
      <x:c r="P326" s="98" t="str">
        <x:f>IF(N326="DRAFT INCLUDE",ROUNDUP(COUNTIF($N$6:N326,"DRAFT INCLUDE")/'Decision Summary'!$B$12,0),"")</x:f>
      </x:c>
      <x:c r="Q326" s="98" t="str">
        <x:f>IF(N326="DRAFT INCLUDE",MOD(COUNTIF($N$6:N326,"DRAFT INCLUDE")-1,'Decision Summary'!$B$12)+1,"")</x:f>
      </x:c>
      <x:c r="R326" s="98" t="str">
        <x:v>PENDING</x:v>
      </x:c>
      <x:c r="S326" s="98" t="str"/>
      <x:c r="T326" s="98" t="str">
        <x:v>Ordinary EOA candidate; inclusion still depends on V1 deprecation, threshold policy and owner approval.</x:v>
      </x:c>
      <x:c r="U326" s="89" t="str">
        <x:v>https://etherscan.io/token/0x445d03f499f1c150615957bb87588fb465fc91cc#balances</x:v>
      </x:c>
      <x:c r="V326" s="89" t="b">
        <x:f>COUNTIF($C$6:$C$502,C326)&gt;1</x:f>
        <x:v>0</x:v>
      </x:c>
    </x:row>
    <x:row r="327">
      <x:c r="A327" s="89" t="n">
        <x:v>322</x:v>
      </x:c>
      <x:c r="B327" s="89" t="str">
        <x:v>v1-mainnet-0322</x:v>
      </x:c>
      <x:c r="C327" s="90" t="str">
        <x:v>0xfd7b5ef33802c90f1dd5306e97efde1d2ebd0f57</x:v>
      </x:c>
      <x:c r="D327" s="98" t="str"/>
      <x:c r="E327" s="98" t="str">
        <x:v>EOA_CANDIDATE</x:v>
      </x:c>
      <x:c r="F327" s="91" t="b">
        <x:v>0</x:v>
      </x:c>
      <x:c r="G327" s="89" t="n">
        <x:v>0</x:v>
      </x:c>
      <x:c r="H327" s="90" t="str">
        <x:v>5934200000000</x:v>
      </x:c>
      <x:c r="I327" s="92" t="n">
        <x:v>5.9342</x:v>
      </x:c>
      <x:c r="J327" s="92" t="str">
        <x:v>5934200000000000000</x:v>
      </x:c>
      <x:c r="K327" s="92" t="n">
        <x:v>5.9342</x:v>
      </x:c>
      <x:c r="L327" s="98" t="str">
        <x:v>PENDING_OWNER_ELIGIBILITY_APPROVAL</x:v>
      </x:c>
      <x:c r="M327" s="98" t="b">
        <x:f>IF(E327="EOA_CANDIDATE",I327&gt;='Decision Summary'!$B$11,FALSE)</x:f>
        <x:v>0</x:v>
      </x:c>
      <x:c r="N327" s="98" t="str">
        <x:f>IF(M327,"DRAFT INCLUDE","HOLD / EXCLUDE")</x:f>
        <x:v>HOLD / EXCLUDE</x:v>
      </x:c>
      <x:c r="O327" s="101" t="str">
        <x:f>IF(M327,C327,"")</x:f>
      </x:c>
      <x:c r="P327" s="98" t="str">
        <x:f>IF(N327="DRAFT INCLUDE",ROUNDUP(COUNTIF($N$6:N327,"DRAFT INCLUDE")/'Decision Summary'!$B$12,0),"")</x:f>
      </x:c>
      <x:c r="Q327" s="98" t="str">
        <x:f>IF(N327="DRAFT INCLUDE",MOD(COUNTIF($N$6:N327,"DRAFT INCLUDE")-1,'Decision Summary'!$B$12)+1,"")</x:f>
      </x:c>
      <x:c r="R327" s="98" t="str">
        <x:v>PENDING</x:v>
      </x:c>
      <x:c r="S327" s="98" t="str"/>
      <x:c r="T327" s="98" t="str">
        <x:v>Ordinary EOA candidate; inclusion still depends on V1 deprecation, threshold policy and owner approval.</x:v>
      </x:c>
      <x:c r="U327" s="89" t="str">
        <x:v>https://etherscan.io/token/0x445d03f499f1c150615957bb87588fb465fc91cc#balances</x:v>
      </x:c>
      <x:c r="V327" s="89" t="b">
        <x:f>COUNTIF($C$6:$C$502,C327)&gt;1</x:f>
        <x:v>0</x:v>
      </x:c>
    </x:row>
    <x:row r="328">
      <x:c r="A328" s="89" t="n">
        <x:v>323</x:v>
      </x:c>
      <x:c r="B328" s="89" t="str">
        <x:v>v1-mainnet-0323</x:v>
      </x:c>
      <x:c r="C328" s="90" t="str">
        <x:v>0x775e7b30b279a2fb0df6cb46ac2353405ebe0048</x:v>
      </x:c>
      <x:c r="D328" s="98" t="str"/>
      <x:c r="E328" s="98" t="str">
        <x:v>EOA_CANDIDATE</x:v>
      </x:c>
      <x:c r="F328" s="91" t="b">
        <x:v>0</x:v>
      </x:c>
      <x:c r="G328" s="89" t="n">
        <x:v>0</x:v>
      </x:c>
      <x:c r="H328" s="90" t="str">
        <x:v>5925400000000</x:v>
      </x:c>
      <x:c r="I328" s="92" t="n">
        <x:v>5.9254</x:v>
      </x:c>
      <x:c r="J328" s="92" t="str">
        <x:v>5925400000000000000</x:v>
      </x:c>
      <x:c r="K328" s="92" t="n">
        <x:v>5.9254</x:v>
      </x:c>
      <x:c r="L328" s="98" t="str">
        <x:v>PENDING_OWNER_ELIGIBILITY_APPROVAL</x:v>
      </x:c>
      <x:c r="M328" s="98" t="b">
        <x:f>IF(E328="EOA_CANDIDATE",I328&gt;='Decision Summary'!$B$11,FALSE)</x:f>
        <x:v>0</x:v>
      </x:c>
      <x:c r="N328" s="98" t="str">
        <x:f>IF(M328,"DRAFT INCLUDE","HOLD / EXCLUDE")</x:f>
        <x:v>HOLD / EXCLUDE</x:v>
      </x:c>
      <x:c r="O328" s="101" t="str">
        <x:f>IF(M328,C328,"")</x:f>
      </x:c>
      <x:c r="P328" s="98" t="str">
        <x:f>IF(N328="DRAFT INCLUDE",ROUNDUP(COUNTIF($N$6:N328,"DRAFT INCLUDE")/'Decision Summary'!$B$12,0),"")</x:f>
      </x:c>
      <x:c r="Q328" s="98" t="str">
        <x:f>IF(N328="DRAFT INCLUDE",MOD(COUNTIF($N$6:N328,"DRAFT INCLUDE")-1,'Decision Summary'!$B$12)+1,"")</x:f>
      </x:c>
      <x:c r="R328" s="98" t="str">
        <x:v>PENDING</x:v>
      </x:c>
      <x:c r="S328" s="98" t="str"/>
      <x:c r="T328" s="98" t="str">
        <x:v>Ordinary EOA candidate; inclusion still depends on V1 deprecation, threshold policy and owner approval.</x:v>
      </x:c>
      <x:c r="U328" s="89" t="str">
        <x:v>https://etherscan.io/token/0x445d03f499f1c150615957bb87588fb465fc91cc#balances</x:v>
      </x:c>
      <x:c r="V328" s="89" t="b">
        <x:f>COUNTIF($C$6:$C$502,C328)&gt;1</x:f>
        <x:v>0</x:v>
      </x:c>
    </x:row>
    <x:row r="329">
      <x:c r="A329" s="89" t="n">
        <x:v>324</x:v>
      </x:c>
      <x:c r="B329" s="89" t="str">
        <x:v>v1-mainnet-0324</x:v>
      </x:c>
      <x:c r="C329" s="90" t="str">
        <x:v>0x2354601171ceb8c6f96f94de4ab3634d18177e00</x:v>
      </x:c>
      <x:c r="D329" s="98" t="str"/>
      <x:c r="E329" s="98" t="str">
        <x:v>EOA_CANDIDATE</x:v>
      </x:c>
      <x:c r="F329" s="91" t="b">
        <x:v>0</x:v>
      </x:c>
      <x:c r="G329" s="89" t="n">
        <x:v>0</x:v>
      </x:c>
      <x:c r="H329" s="90" t="str">
        <x:v>5912300000000</x:v>
      </x:c>
      <x:c r="I329" s="92" t="n">
        <x:v>5.9123</x:v>
      </x:c>
      <x:c r="J329" s="92" t="str">
        <x:v>5912300000000000000</x:v>
      </x:c>
      <x:c r="K329" s="92" t="n">
        <x:v>5.9123</x:v>
      </x:c>
      <x:c r="L329" s="98" t="str">
        <x:v>PENDING_OWNER_ELIGIBILITY_APPROVAL</x:v>
      </x:c>
      <x:c r="M329" s="98" t="b">
        <x:f>IF(E329="EOA_CANDIDATE",I329&gt;='Decision Summary'!$B$11,FALSE)</x:f>
        <x:v>0</x:v>
      </x:c>
      <x:c r="N329" s="98" t="str">
        <x:f>IF(M329,"DRAFT INCLUDE","HOLD / EXCLUDE")</x:f>
        <x:v>HOLD / EXCLUDE</x:v>
      </x:c>
      <x:c r="O329" s="101" t="str">
        <x:f>IF(M329,C329,"")</x:f>
      </x:c>
      <x:c r="P329" s="98" t="str">
        <x:f>IF(N329="DRAFT INCLUDE",ROUNDUP(COUNTIF($N$6:N329,"DRAFT INCLUDE")/'Decision Summary'!$B$12,0),"")</x:f>
      </x:c>
      <x:c r="Q329" s="98" t="str">
        <x:f>IF(N329="DRAFT INCLUDE",MOD(COUNTIF($N$6:N329,"DRAFT INCLUDE")-1,'Decision Summary'!$B$12)+1,"")</x:f>
      </x:c>
      <x:c r="R329" s="98" t="str">
        <x:v>PENDING</x:v>
      </x:c>
      <x:c r="S329" s="98" t="str"/>
      <x:c r="T329" s="98" t="str">
        <x:v>Ordinary EOA candidate; inclusion still depends on V1 deprecation, threshold policy and owner approval.</x:v>
      </x:c>
      <x:c r="U329" s="89" t="str">
        <x:v>https://etherscan.io/token/0x445d03f499f1c150615957bb87588fb465fc91cc#balances</x:v>
      </x:c>
      <x:c r="V329" s="89" t="b">
        <x:f>COUNTIF($C$6:$C$502,C329)&gt;1</x:f>
        <x:v>0</x:v>
      </x:c>
    </x:row>
    <x:row r="330">
      <x:c r="A330" s="89" t="n">
        <x:v>325</x:v>
      </x:c>
      <x:c r="B330" s="89" t="str">
        <x:v>v1-mainnet-0325</x:v>
      </x:c>
      <x:c r="C330" s="90" t="str">
        <x:v>0x6ad2ff41c79cbb938512e6c163ef53705e8862d8</x:v>
      </x:c>
      <x:c r="D330" s="98" t="str"/>
      <x:c r="E330" s="98" t="str">
        <x:v>EOA_CANDIDATE</x:v>
      </x:c>
      <x:c r="F330" s="91" t="b">
        <x:v>0</x:v>
      </x:c>
      <x:c r="G330" s="89" t="n">
        <x:v>0</x:v>
      </x:c>
      <x:c r="H330" s="90" t="str">
        <x:v>5898000000000</x:v>
      </x:c>
      <x:c r="I330" s="92" t="n">
        <x:v>5.898</x:v>
      </x:c>
      <x:c r="J330" s="92" t="str">
        <x:v>5898000000000000000</x:v>
      </x:c>
      <x:c r="K330" s="92" t="n">
        <x:v>5.898</x:v>
      </x:c>
      <x:c r="L330" s="98" t="str">
        <x:v>PENDING_OWNER_ELIGIBILITY_APPROVAL</x:v>
      </x:c>
      <x:c r="M330" s="98" t="b">
        <x:f>IF(E330="EOA_CANDIDATE",I330&gt;='Decision Summary'!$B$11,FALSE)</x:f>
        <x:v>0</x:v>
      </x:c>
      <x:c r="N330" s="98" t="str">
        <x:f>IF(M330,"DRAFT INCLUDE","HOLD / EXCLUDE")</x:f>
        <x:v>HOLD / EXCLUDE</x:v>
      </x:c>
      <x:c r="O330" s="101" t="str">
        <x:f>IF(M330,C330,"")</x:f>
      </x:c>
      <x:c r="P330" s="98" t="str">
        <x:f>IF(N330="DRAFT INCLUDE",ROUNDUP(COUNTIF($N$6:N330,"DRAFT INCLUDE")/'Decision Summary'!$B$12,0),"")</x:f>
      </x:c>
      <x:c r="Q330" s="98" t="str">
        <x:f>IF(N330="DRAFT INCLUDE",MOD(COUNTIF($N$6:N330,"DRAFT INCLUDE")-1,'Decision Summary'!$B$12)+1,"")</x:f>
      </x:c>
      <x:c r="R330" s="98" t="str">
        <x:v>PENDING</x:v>
      </x:c>
      <x:c r="S330" s="98" t="str"/>
      <x:c r="T330" s="98" t="str">
        <x:v>Ordinary EOA candidate; inclusion still depends on V1 deprecation, threshold policy and owner approval.</x:v>
      </x:c>
      <x:c r="U330" s="89" t="str">
        <x:v>https://etherscan.io/token/0x445d03f499f1c150615957bb87588fb465fc91cc#balances</x:v>
      </x:c>
      <x:c r="V330" s="89" t="b">
        <x:f>COUNTIF($C$6:$C$502,C330)&gt;1</x:f>
        <x:v>0</x:v>
      </x:c>
    </x:row>
    <x:row r="331">
      <x:c r="A331" s="89" t="n">
        <x:v>326</x:v>
      </x:c>
      <x:c r="B331" s="89" t="str">
        <x:v>v1-mainnet-0326</x:v>
      </x:c>
      <x:c r="C331" s="90" t="str">
        <x:v>0xfc49695f8d6f2a5405d8d1bf3abe0434608f9fcc</x:v>
      </x:c>
      <x:c r="D331" s="98" t="str"/>
      <x:c r="E331" s="98" t="str">
        <x:v>EOA_CANDIDATE</x:v>
      </x:c>
      <x:c r="F331" s="91" t="b">
        <x:v>0</x:v>
      </x:c>
      <x:c r="G331" s="89" t="n">
        <x:v>0</x:v>
      </x:c>
      <x:c r="H331" s="90" t="str">
        <x:v>5877600000000</x:v>
      </x:c>
      <x:c r="I331" s="92" t="n">
        <x:v>5.8776</x:v>
      </x:c>
      <x:c r="J331" s="92" t="str">
        <x:v>5877600000000000000</x:v>
      </x:c>
      <x:c r="K331" s="92" t="n">
        <x:v>5.8776</x:v>
      </x:c>
      <x:c r="L331" s="98" t="str">
        <x:v>PENDING_OWNER_ELIGIBILITY_APPROVAL</x:v>
      </x:c>
      <x:c r="M331" s="98" t="b">
        <x:f>IF(E331="EOA_CANDIDATE",I331&gt;='Decision Summary'!$B$11,FALSE)</x:f>
        <x:v>0</x:v>
      </x:c>
      <x:c r="N331" s="98" t="str">
        <x:f>IF(M331,"DRAFT INCLUDE","HOLD / EXCLUDE")</x:f>
        <x:v>HOLD / EXCLUDE</x:v>
      </x:c>
      <x:c r="O331" s="101" t="str">
        <x:f>IF(M331,C331,"")</x:f>
      </x:c>
      <x:c r="P331" s="98" t="str">
        <x:f>IF(N331="DRAFT INCLUDE",ROUNDUP(COUNTIF($N$6:N331,"DRAFT INCLUDE")/'Decision Summary'!$B$12,0),"")</x:f>
      </x:c>
      <x:c r="Q331" s="98" t="str">
        <x:f>IF(N331="DRAFT INCLUDE",MOD(COUNTIF($N$6:N331,"DRAFT INCLUDE")-1,'Decision Summary'!$B$12)+1,"")</x:f>
      </x:c>
      <x:c r="R331" s="98" t="str">
        <x:v>PENDING</x:v>
      </x:c>
      <x:c r="S331" s="98" t="str"/>
      <x:c r="T331" s="98" t="str">
        <x:v>Ordinary EOA candidate; inclusion still depends on V1 deprecation, threshold policy and owner approval.</x:v>
      </x:c>
      <x:c r="U331" s="89" t="str">
        <x:v>https://etherscan.io/token/0x445d03f499f1c150615957bb87588fb465fc91cc#balances</x:v>
      </x:c>
      <x:c r="V331" s="89" t="b">
        <x:f>COUNTIF($C$6:$C$502,C331)&gt;1</x:f>
        <x:v>0</x:v>
      </x:c>
    </x:row>
    <x:row r="332">
      <x:c r="A332" s="89" t="n">
        <x:v>327</x:v>
      </x:c>
      <x:c r="B332" s="89" t="str">
        <x:v>v1-mainnet-0327</x:v>
      </x:c>
      <x:c r="C332" s="90" t="str">
        <x:v>0x32a8e021dbece9b88aedcbc39594cfe375c773ad</x:v>
      </x:c>
      <x:c r="D332" s="98" t="str"/>
      <x:c r="E332" s="98" t="str">
        <x:v>EOA_CANDIDATE</x:v>
      </x:c>
      <x:c r="F332" s="91" t="b">
        <x:v>0</x:v>
      </x:c>
      <x:c r="G332" s="89" t="n">
        <x:v>0</x:v>
      </x:c>
      <x:c r="H332" s="90" t="str">
        <x:v>5860100000000</x:v>
      </x:c>
      <x:c r="I332" s="92" t="n">
        <x:v>5.8601</x:v>
      </x:c>
      <x:c r="J332" s="92" t="str">
        <x:v>5860100000000000000</x:v>
      </x:c>
      <x:c r="K332" s="92" t="n">
        <x:v>5.8601</x:v>
      </x:c>
      <x:c r="L332" s="98" t="str">
        <x:v>PENDING_OWNER_ELIGIBILITY_APPROVAL</x:v>
      </x:c>
      <x:c r="M332" s="98" t="b">
        <x:f>IF(E332="EOA_CANDIDATE",I332&gt;='Decision Summary'!$B$11,FALSE)</x:f>
        <x:v>0</x:v>
      </x:c>
      <x:c r="N332" s="98" t="str">
        <x:f>IF(M332,"DRAFT INCLUDE","HOLD / EXCLUDE")</x:f>
        <x:v>HOLD / EXCLUDE</x:v>
      </x:c>
      <x:c r="O332" s="101" t="str">
        <x:f>IF(M332,C332,"")</x:f>
      </x:c>
      <x:c r="P332" s="98" t="str">
        <x:f>IF(N332="DRAFT INCLUDE",ROUNDUP(COUNTIF($N$6:N332,"DRAFT INCLUDE")/'Decision Summary'!$B$12,0),"")</x:f>
      </x:c>
      <x:c r="Q332" s="98" t="str">
        <x:f>IF(N332="DRAFT INCLUDE",MOD(COUNTIF($N$6:N332,"DRAFT INCLUDE")-1,'Decision Summary'!$B$12)+1,"")</x:f>
      </x:c>
      <x:c r="R332" s="98" t="str">
        <x:v>PENDING</x:v>
      </x:c>
      <x:c r="S332" s="98" t="str"/>
      <x:c r="T332" s="98" t="str">
        <x:v>Ordinary EOA candidate; inclusion still depends on V1 deprecation, threshold policy and owner approval.</x:v>
      </x:c>
      <x:c r="U332" s="89" t="str">
        <x:v>https://etherscan.io/token/0x445d03f499f1c150615957bb87588fb465fc91cc#balances</x:v>
      </x:c>
      <x:c r="V332" s="89" t="b">
        <x:f>COUNTIF($C$6:$C$502,C332)&gt;1</x:f>
        <x:v>0</x:v>
      </x:c>
    </x:row>
    <x:row r="333">
      <x:c r="A333" s="89" t="n">
        <x:v>328</x:v>
      </x:c>
      <x:c r="B333" s="89" t="str">
        <x:v>v1-mainnet-0328</x:v>
      </x:c>
      <x:c r="C333" s="90" t="str">
        <x:v>0x9ddc97cbebc0803b11b6369105770676a2f3bdee</x:v>
      </x:c>
      <x:c r="D333" s="98" t="str"/>
      <x:c r="E333" s="98" t="str">
        <x:v>EOA_CANDIDATE</x:v>
      </x:c>
      <x:c r="F333" s="91" t="b">
        <x:v>0</x:v>
      </x:c>
      <x:c r="G333" s="89" t="n">
        <x:v>0</x:v>
      </x:c>
      <x:c r="H333" s="90" t="str">
        <x:v>5858200000000</x:v>
      </x:c>
      <x:c r="I333" s="92" t="n">
        <x:v>5.8582</x:v>
      </x:c>
      <x:c r="J333" s="92" t="str">
        <x:v>5858200000000000000</x:v>
      </x:c>
      <x:c r="K333" s="92" t="n">
        <x:v>5.8582</x:v>
      </x:c>
      <x:c r="L333" s="98" t="str">
        <x:v>PENDING_OWNER_ELIGIBILITY_APPROVAL</x:v>
      </x:c>
      <x:c r="M333" s="98" t="b">
        <x:f>IF(E333="EOA_CANDIDATE",I333&gt;='Decision Summary'!$B$11,FALSE)</x:f>
        <x:v>0</x:v>
      </x:c>
      <x:c r="N333" s="98" t="str">
        <x:f>IF(M333,"DRAFT INCLUDE","HOLD / EXCLUDE")</x:f>
        <x:v>HOLD / EXCLUDE</x:v>
      </x:c>
      <x:c r="O333" s="101" t="str">
        <x:f>IF(M333,C333,"")</x:f>
      </x:c>
      <x:c r="P333" s="98" t="str">
        <x:f>IF(N333="DRAFT INCLUDE",ROUNDUP(COUNTIF($N$6:N333,"DRAFT INCLUDE")/'Decision Summary'!$B$12,0),"")</x:f>
      </x:c>
      <x:c r="Q333" s="98" t="str">
        <x:f>IF(N333="DRAFT INCLUDE",MOD(COUNTIF($N$6:N333,"DRAFT INCLUDE")-1,'Decision Summary'!$B$12)+1,"")</x:f>
      </x:c>
      <x:c r="R333" s="98" t="str">
        <x:v>PENDING</x:v>
      </x:c>
      <x:c r="S333" s="98" t="str"/>
      <x:c r="T333" s="98" t="str">
        <x:v>Ordinary EOA candidate; inclusion still depends on V1 deprecation, threshold policy and owner approval.</x:v>
      </x:c>
      <x:c r="U333" s="89" t="str">
        <x:v>https://etherscan.io/token/0x445d03f499f1c150615957bb87588fb465fc91cc#balances</x:v>
      </x:c>
      <x:c r="V333" s="89" t="b">
        <x:f>COUNTIF($C$6:$C$502,C333)&gt;1</x:f>
        <x:v>0</x:v>
      </x:c>
    </x:row>
    <x:row r="334">
      <x:c r="A334" s="89" t="n">
        <x:v>329</x:v>
      </x:c>
      <x:c r="B334" s="89" t="str">
        <x:v>v1-mainnet-0329</x:v>
      </x:c>
      <x:c r="C334" s="90" t="str">
        <x:v>0xd0495d56a91e11c8cd0bfd12cd124fc0a9f9b94d</x:v>
      </x:c>
      <x:c r="D334" s="98" t="str"/>
      <x:c r="E334" s="98" t="str">
        <x:v>EOA_CANDIDATE</x:v>
      </x:c>
      <x:c r="F334" s="91" t="b">
        <x:v>0</x:v>
      </x:c>
      <x:c r="G334" s="89" t="n">
        <x:v>0</x:v>
      </x:c>
      <x:c r="H334" s="90" t="str">
        <x:v>5850400000000</x:v>
      </x:c>
      <x:c r="I334" s="92" t="n">
        <x:v>5.8504</x:v>
      </x:c>
      <x:c r="J334" s="92" t="str">
        <x:v>5850400000000000000</x:v>
      </x:c>
      <x:c r="K334" s="92" t="n">
        <x:v>5.8504</x:v>
      </x:c>
      <x:c r="L334" s="98" t="str">
        <x:v>PENDING_OWNER_ELIGIBILITY_APPROVAL</x:v>
      </x:c>
      <x:c r="M334" s="98" t="b">
        <x:f>IF(E334="EOA_CANDIDATE",I334&gt;='Decision Summary'!$B$11,FALSE)</x:f>
        <x:v>0</x:v>
      </x:c>
      <x:c r="N334" s="98" t="str">
        <x:f>IF(M334,"DRAFT INCLUDE","HOLD / EXCLUDE")</x:f>
        <x:v>HOLD / EXCLUDE</x:v>
      </x:c>
      <x:c r="O334" s="101" t="str">
        <x:f>IF(M334,C334,"")</x:f>
      </x:c>
      <x:c r="P334" s="98" t="str">
        <x:f>IF(N334="DRAFT INCLUDE",ROUNDUP(COUNTIF($N$6:N334,"DRAFT INCLUDE")/'Decision Summary'!$B$12,0),"")</x:f>
      </x:c>
      <x:c r="Q334" s="98" t="str">
        <x:f>IF(N334="DRAFT INCLUDE",MOD(COUNTIF($N$6:N334,"DRAFT INCLUDE")-1,'Decision Summary'!$B$12)+1,"")</x:f>
      </x:c>
      <x:c r="R334" s="98" t="str">
        <x:v>PENDING</x:v>
      </x:c>
      <x:c r="S334" s="98" t="str"/>
      <x:c r="T334" s="98" t="str">
        <x:v>Ordinary EOA candidate; inclusion still depends on V1 deprecation, threshold policy and owner approval.</x:v>
      </x:c>
      <x:c r="U334" s="89" t="str">
        <x:v>https://etherscan.io/token/0x445d03f499f1c150615957bb87588fb465fc91cc#balances</x:v>
      </x:c>
      <x:c r="V334" s="89" t="b">
        <x:f>COUNTIF($C$6:$C$502,C334)&gt;1</x:f>
        <x:v>0</x:v>
      </x:c>
    </x:row>
    <x:row r="335">
      <x:c r="A335" s="89" t="n">
        <x:v>330</x:v>
      </x:c>
      <x:c r="B335" s="89" t="str">
        <x:v>v1-mainnet-0330</x:v>
      </x:c>
      <x:c r="C335" s="90" t="str">
        <x:v>0x24a9c76407fc57ac9db434285e4562cea3c0a5f2</x:v>
      </x:c>
      <x:c r="D335" s="98" t="str"/>
      <x:c r="E335" s="98" t="str">
        <x:v>EOA_CANDIDATE</x:v>
      </x:c>
      <x:c r="F335" s="91" t="b">
        <x:v>0</x:v>
      </x:c>
      <x:c r="G335" s="89" t="n">
        <x:v>0</x:v>
      </x:c>
      <x:c r="H335" s="90" t="str">
        <x:v>5830700000000</x:v>
      </x:c>
      <x:c r="I335" s="92" t="n">
        <x:v>5.8307</x:v>
      </x:c>
      <x:c r="J335" s="92" t="str">
        <x:v>5830700000000000000</x:v>
      </x:c>
      <x:c r="K335" s="92" t="n">
        <x:v>5.8307</x:v>
      </x:c>
      <x:c r="L335" s="98" t="str">
        <x:v>PENDING_OWNER_ELIGIBILITY_APPROVAL</x:v>
      </x:c>
      <x:c r="M335" s="98" t="b">
        <x:f>IF(E335="EOA_CANDIDATE",I335&gt;='Decision Summary'!$B$11,FALSE)</x:f>
        <x:v>0</x:v>
      </x:c>
      <x:c r="N335" s="98" t="str">
        <x:f>IF(M335,"DRAFT INCLUDE","HOLD / EXCLUDE")</x:f>
        <x:v>HOLD / EXCLUDE</x:v>
      </x:c>
      <x:c r="O335" s="101" t="str">
        <x:f>IF(M335,C335,"")</x:f>
      </x:c>
      <x:c r="P335" s="98" t="str">
        <x:f>IF(N335="DRAFT INCLUDE",ROUNDUP(COUNTIF($N$6:N335,"DRAFT INCLUDE")/'Decision Summary'!$B$12,0),"")</x:f>
      </x:c>
      <x:c r="Q335" s="98" t="str">
        <x:f>IF(N335="DRAFT INCLUDE",MOD(COUNTIF($N$6:N335,"DRAFT INCLUDE")-1,'Decision Summary'!$B$12)+1,"")</x:f>
      </x:c>
      <x:c r="R335" s="98" t="str">
        <x:v>PENDING</x:v>
      </x:c>
      <x:c r="S335" s="98" t="str"/>
      <x:c r="T335" s="98" t="str">
        <x:v>Ordinary EOA candidate; inclusion still depends on V1 deprecation, threshold policy and owner approval.</x:v>
      </x:c>
      <x:c r="U335" s="89" t="str">
        <x:v>https://etherscan.io/token/0x445d03f499f1c150615957bb87588fb465fc91cc#balances</x:v>
      </x:c>
      <x:c r="V335" s="89" t="b">
        <x:f>COUNTIF($C$6:$C$502,C335)&gt;1</x:f>
        <x:v>0</x:v>
      </x:c>
    </x:row>
    <x:row r="336">
      <x:c r="A336" s="89" t="n">
        <x:v>331</x:v>
      </x:c>
      <x:c r="B336" s="89" t="str">
        <x:v>v1-mainnet-0331</x:v>
      </x:c>
      <x:c r="C336" s="90" t="str">
        <x:v>0x33f1c575b537469eafb04d736282719a531c4822</x:v>
      </x:c>
      <x:c r="D336" s="98" t="str"/>
      <x:c r="E336" s="98" t="str">
        <x:v>EOA_CANDIDATE</x:v>
      </x:c>
      <x:c r="F336" s="91" t="b">
        <x:v>0</x:v>
      </x:c>
      <x:c r="G336" s="89" t="n">
        <x:v>0</x:v>
      </x:c>
      <x:c r="H336" s="90" t="str">
        <x:v>5812600000000</x:v>
      </x:c>
      <x:c r="I336" s="92" t="n">
        <x:v>5.8126</x:v>
      </x:c>
      <x:c r="J336" s="92" t="str">
        <x:v>5812600000000000000</x:v>
      </x:c>
      <x:c r="K336" s="92" t="n">
        <x:v>5.8126</x:v>
      </x:c>
      <x:c r="L336" s="98" t="str">
        <x:v>PENDING_OWNER_ELIGIBILITY_APPROVAL</x:v>
      </x:c>
      <x:c r="M336" s="98" t="b">
        <x:f>IF(E336="EOA_CANDIDATE",I336&gt;='Decision Summary'!$B$11,FALSE)</x:f>
        <x:v>0</x:v>
      </x:c>
      <x:c r="N336" s="98" t="str">
        <x:f>IF(M336,"DRAFT INCLUDE","HOLD / EXCLUDE")</x:f>
        <x:v>HOLD / EXCLUDE</x:v>
      </x:c>
      <x:c r="O336" s="101" t="str">
        <x:f>IF(M336,C336,"")</x:f>
      </x:c>
      <x:c r="P336" s="98" t="str">
        <x:f>IF(N336="DRAFT INCLUDE",ROUNDUP(COUNTIF($N$6:N336,"DRAFT INCLUDE")/'Decision Summary'!$B$12,0),"")</x:f>
      </x:c>
      <x:c r="Q336" s="98" t="str">
        <x:f>IF(N336="DRAFT INCLUDE",MOD(COUNTIF($N$6:N336,"DRAFT INCLUDE")-1,'Decision Summary'!$B$12)+1,"")</x:f>
      </x:c>
      <x:c r="R336" s="98" t="str">
        <x:v>PENDING</x:v>
      </x:c>
      <x:c r="S336" s="98" t="str"/>
      <x:c r="T336" s="98" t="str">
        <x:v>Ordinary EOA candidate; inclusion still depends on V1 deprecation, threshold policy and owner approval.</x:v>
      </x:c>
      <x:c r="U336" s="89" t="str">
        <x:v>https://etherscan.io/token/0x445d03f499f1c150615957bb87588fb465fc91cc#balances</x:v>
      </x:c>
      <x:c r="V336" s="89" t="b">
        <x:f>COUNTIF($C$6:$C$502,C336)&gt;1</x:f>
        <x:v>0</x:v>
      </x:c>
    </x:row>
    <x:row r="337">
      <x:c r="A337" s="89" t="n">
        <x:v>332</x:v>
      </x:c>
      <x:c r="B337" s="89" t="str">
        <x:v>v1-mainnet-0332</x:v>
      </x:c>
      <x:c r="C337" s="90" t="str">
        <x:v>0x5d38b8056a35e8d2859d0c346c58e3fb01916b4e</x:v>
      </x:c>
      <x:c r="D337" s="98" t="str"/>
      <x:c r="E337" s="98" t="str">
        <x:v>EOA_CANDIDATE</x:v>
      </x:c>
      <x:c r="F337" s="91" t="b">
        <x:v>0</x:v>
      </x:c>
      <x:c r="G337" s="89" t="n">
        <x:v>0</x:v>
      </x:c>
      <x:c r="H337" s="90" t="str">
        <x:v>5797000000000</x:v>
      </x:c>
      <x:c r="I337" s="92" t="n">
        <x:v>5.797</x:v>
      </x:c>
      <x:c r="J337" s="92" t="str">
        <x:v>5797000000000000000</x:v>
      </x:c>
      <x:c r="K337" s="92" t="n">
        <x:v>5.797</x:v>
      </x:c>
      <x:c r="L337" s="98" t="str">
        <x:v>PENDING_OWNER_ELIGIBILITY_APPROVAL</x:v>
      </x:c>
      <x:c r="M337" s="98" t="b">
        <x:f>IF(E337="EOA_CANDIDATE",I337&gt;='Decision Summary'!$B$11,FALSE)</x:f>
        <x:v>0</x:v>
      </x:c>
      <x:c r="N337" s="98" t="str">
        <x:f>IF(M337,"DRAFT INCLUDE","HOLD / EXCLUDE")</x:f>
        <x:v>HOLD / EXCLUDE</x:v>
      </x:c>
      <x:c r="O337" s="101" t="str">
        <x:f>IF(M337,C337,"")</x:f>
      </x:c>
      <x:c r="P337" s="98" t="str">
        <x:f>IF(N337="DRAFT INCLUDE",ROUNDUP(COUNTIF($N$6:N337,"DRAFT INCLUDE")/'Decision Summary'!$B$12,0),"")</x:f>
      </x:c>
      <x:c r="Q337" s="98" t="str">
        <x:f>IF(N337="DRAFT INCLUDE",MOD(COUNTIF($N$6:N337,"DRAFT INCLUDE")-1,'Decision Summary'!$B$12)+1,"")</x:f>
      </x:c>
      <x:c r="R337" s="98" t="str">
        <x:v>PENDING</x:v>
      </x:c>
      <x:c r="S337" s="98" t="str"/>
      <x:c r="T337" s="98" t="str">
        <x:v>Ordinary EOA candidate; inclusion still depends on V1 deprecation, threshold policy and owner approval.</x:v>
      </x:c>
      <x:c r="U337" s="89" t="str">
        <x:v>https://etherscan.io/token/0x445d03f499f1c150615957bb87588fb465fc91cc#balances</x:v>
      </x:c>
      <x:c r="V337" s="89" t="b">
        <x:f>COUNTIF($C$6:$C$502,C337)&gt;1</x:f>
        <x:v>0</x:v>
      </x:c>
    </x:row>
    <x:row r="338">
      <x:c r="A338" s="89" t="n">
        <x:v>333</x:v>
      </x:c>
      <x:c r="B338" s="89" t="str">
        <x:v>v1-mainnet-0333</x:v>
      </x:c>
      <x:c r="C338" s="90" t="str">
        <x:v>0x7e2a214a70479fb0a6fd8dd346d46cb7625ed3a0</x:v>
      </x:c>
      <x:c r="D338" s="98" t="str"/>
      <x:c r="E338" s="98" t="str">
        <x:v>EOA_CANDIDATE</x:v>
      </x:c>
      <x:c r="F338" s="91" t="b">
        <x:v>0</x:v>
      </x:c>
      <x:c r="G338" s="89" t="n">
        <x:v>0</x:v>
      </x:c>
      <x:c r="H338" s="90" t="str">
        <x:v>5784900000000</x:v>
      </x:c>
      <x:c r="I338" s="92" t="n">
        <x:v>5.7849</x:v>
      </x:c>
      <x:c r="J338" s="92" t="str">
        <x:v>5784900000000000000</x:v>
      </x:c>
      <x:c r="K338" s="92" t="n">
        <x:v>5.7849</x:v>
      </x:c>
      <x:c r="L338" s="98" t="str">
        <x:v>PENDING_OWNER_ELIGIBILITY_APPROVAL</x:v>
      </x:c>
      <x:c r="M338" s="98" t="b">
        <x:f>IF(E338="EOA_CANDIDATE",I338&gt;='Decision Summary'!$B$11,FALSE)</x:f>
        <x:v>0</x:v>
      </x:c>
      <x:c r="N338" s="98" t="str">
        <x:f>IF(M338,"DRAFT INCLUDE","HOLD / EXCLUDE")</x:f>
        <x:v>HOLD / EXCLUDE</x:v>
      </x:c>
      <x:c r="O338" s="101" t="str">
        <x:f>IF(M338,C338,"")</x:f>
      </x:c>
      <x:c r="P338" s="98" t="str">
        <x:f>IF(N338="DRAFT INCLUDE",ROUNDUP(COUNTIF($N$6:N338,"DRAFT INCLUDE")/'Decision Summary'!$B$12,0),"")</x:f>
      </x:c>
      <x:c r="Q338" s="98" t="str">
        <x:f>IF(N338="DRAFT INCLUDE",MOD(COUNTIF($N$6:N338,"DRAFT INCLUDE")-1,'Decision Summary'!$B$12)+1,"")</x:f>
      </x:c>
      <x:c r="R338" s="98" t="str">
        <x:v>PENDING</x:v>
      </x:c>
      <x:c r="S338" s="98" t="str"/>
      <x:c r="T338" s="98" t="str">
        <x:v>Ordinary EOA candidate; inclusion still depends on V1 deprecation, threshold policy and owner approval.</x:v>
      </x:c>
      <x:c r="U338" s="89" t="str">
        <x:v>https://etherscan.io/token/0x445d03f499f1c150615957bb87588fb465fc91cc#balances</x:v>
      </x:c>
      <x:c r="V338" s="89" t="b">
        <x:f>COUNTIF($C$6:$C$502,C338)&gt;1</x:f>
        <x:v>0</x:v>
      </x:c>
    </x:row>
    <x:row r="339">
      <x:c r="A339" s="89" t="n">
        <x:v>334</x:v>
      </x:c>
      <x:c r="B339" s="89" t="str">
        <x:v>v1-mainnet-0334</x:v>
      </x:c>
      <x:c r="C339" s="90" t="str">
        <x:v>0x5b6306043c3407748b47d0463b02abb063420c06</x:v>
      </x:c>
      <x:c r="D339" s="98" t="str"/>
      <x:c r="E339" s="98" t="str">
        <x:v>EOA_CANDIDATE</x:v>
      </x:c>
      <x:c r="F339" s="91" t="b">
        <x:v>0</x:v>
      </x:c>
      <x:c r="G339" s="89" t="n">
        <x:v>0</x:v>
      </x:c>
      <x:c r="H339" s="90" t="str">
        <x:v>5766200000000</x:v>
      </x:c>
      <x:c r="I339" s="92" t="n">
        <x:v>5.7662</x:v>
      </x:c>
      <x:c r="J339" s="92" t="str">
        <x:v>5766200000000000000</x:v>
      </x:c>
      <x:c r="K339" s="92" t="n">
        <x:v>5.7662</x:v>
      </x:c>
      <x:c r="L339" s="98" t="str">
        <x:v>PENDING_OWNER_ELIGIBILITY_APPROVAL</x:v>
      </x:c>
      <x:c r="M339" s="98" t="b">
        <x:f>IF(E339="EOA_CANDIDATE",I339&gt;='Decision Summary'!$B$11,FALSE)</x:f>
        <x:v>0</x:v>
      </x:c>
      <x:c r="N339" s="98" t="str">
        <x:f>IF(M339,"DRAFT INCLUDE","HOLD / EXCLUDE")</x:f>
        <x:v>HOLD / EXCLUDE</x:v>
      </x:c>
      <x:c r="O339" s="101" t="str">
        <x:f>IF(M339,C339,"")</x:f>
      </x:c>
      <x:c r="P339" s="98" t="str">
        <x:f>IF(N339="DRAFT INCLUDE",ROUNDUP(COUNTIF($N$6:N339,"DRAFT INCLUDE")/'Decision Summary'!$B$12,0),"")</x:f>
      </x:c>
      <x:c r="Q339" s="98" t="str">
        <x:f>IF(N339="DRAFT INCLUDE",MOD(COUNTIF($N$6:N339,"DRAFT INCLUDE")-1,'Decision Summary'!$B$12)+1,"")</x:f>
      </x:c>
      <x:c r="R339" s="98" t="str">
        <x:v>PENDING</x:v>
      </x:c>
      <x:c r="S339" s="98" t="str"/>
      <x:c r="T339" s="98" t="str">
        <x:v>Ordinary EOA candidate; inclusion still depends on V1 deprecation, threshold policy and owner approval.</x:v>
      </x:c>
      <x:c r="U339" s="89" t="str">
        <x:v>https://etherscan.io/token/0x445d03f499f1c150615957bb87588fb465fc91cc#balances</x:v>
      </x:c>
      <x:c r="V339" s="89" t="b">
        <x:f>COUNTIF($C$6:$C$502,C339)&gt;1</x:f>
        <x:v>0</x:v>
      </x:c>
    </x:row>
    <x:row r="340">
      <x:c r="A340" s="89" t="n">
        <x:v>335</x:v>
      </x:c>
      <x:c r="B340" s="89" t="str">
        <x:v>v1-mainnet-0335</x:v>
      </x:c>
      <x:c r="C340" s="90" t="str">
        <x:v>0xf635e0e45b6b72697f2d7bd73aab66cea3aa6706</x:v>
      </x:c>
      <x:c r="D340" s="98" t="str"/>
      <x:c r="E340" s="98" t="str">
        <x:v>EOA_CANDIDATE</x:v>
      </x:c>
      <x:c r="F340" s="91" t="b">
        <x:v>0</x:v>
      </x:c>
      <x:c r="G340" s="89" t="n">
        <x:v>0</x:v>
      </x:c>
      <x:c r="H340" s="90" t="str">
        <x:v>5710600000000</x:v>
      </x:c>
      <x:c r="I340" s="92" t="n">
        <x:v>5.7106</x:v>
      </x:c>
      <x:c r="J340" s="92" t="str">
        <x:v>5710600000000000000</x:v>
      </x:c>
      <x:c r="K340" s="92" t="n">
        <x:v>5.7106</x:v>
      </x:c>
      <x:c r="L340" s="98" t="str">
        <x:v>PENDING_OWNER_ELIGIBILITY_APPROVAL</x:v>
      </x:c>
      <x:c r="M340" s="98" t="b">
        <x:f>IF(E340="EOA_CANDIDATE",I340&gt;='Decision Summary'!$B$11,FALSE)</x:f>
        <x:v>0</x:v>
      </x:c>
      <x:c r="N340" s="98" t="str">
        <x:f>IF(M340,"DRAFT INCLUDE","HOLD / EXCLUDE")</x:f>
        <x:v>HOLD / EXCLUDE</x:v>
      </x:c>
      <x:c r="O340" s="101" t="str">
        <x:f>IF(M340,C340,"")</x:f>
      </x:c>
      <x:c r="P340" s="98" t="str">
        <x:f>IF(N340="DRAFT INCLUDE",ROUNDUP(COUNTIF($N$6:N340,"DRAFT INCLUDE")/'Decision Summary'!$B$12,0),"")</x:f>
      </x:c>
      <x:c r="Q340" s="98" t="str">
        <x:f>IF(N340="DRAFT INCLUDE",MOD(COUNTIF($N$6:N340,"DRAFT INCLUDE")-1,'Decision Summary'!$B$12)+1,"")</x:f>
      </x:c>
      <x:c r="R340" s="98" t="str">
        <x:v>PENDING</x:v>
      </x:c>
      <x:c r="S340" s="98" t="str"/>
      <x:c r="T340" s="98" t="str">
        <x:v>Ordinary EOA candidate; inclusion still depends on V1 deprecation, threshold policy and owner approval.</x:v>
      </x:c>
      <x:c r="U340" s="89" t="str">
        <x:v>https://etherscan.io/token/0x445d03f499f1c150615957bb87588fb465fc91cc#balances</x:v>
      </x:c>
      <x:c r="V340" s="89" t="b">
        <x:f>COUNTIF($C$6:$C$502,C340)&gt;1</x:f>
        <x:v>0</x:v>
      </x:c>
    </x:row>
    <x:row r="341">
      <x:c r="A341" s="89" t="n">
        <x:v>336</x:v>
      </x:c>
      <x:c r="B341" s="89" t="str">
        <x:v>v1-mainnet-0336</x:v>
      </x:c>
      <x:c r="C341" s="90" t="str">
        <x:v>0xd5c1391ac354ec3e5f7ae924feb2272e3f2dab4d</x:v>
      </x:c>
      <x:c r="D341" s="98" t="str"/>
      <x:c r="E341" s="98" t="str">
        <x:v>EOA_CANDIDATE</x:v>
      </x:c>
      <x:c r="F341" s="91" t="b">
        <x:v>0</x:v>
      </x:c>
      <x:c r="G341" s="89" t="n">
        <x:v>0</x:v>
      </x:c>
      <x:c r="H341" s="90" t="str">
        <x:v>5706200000000</x:v>
      </x:c>
      <x:c r="I341" s="92" t="n">
        <x:v>5.7062</x:v>
      </x:c>
      <x:c r="J341" s="92" t="str">
        <x:v>5706200000000000000</x:v>
      </x:c>
      <x:c r="K341" s="92" t="n">
        <x:v>5.7062</x:v>
      </x:c>
      <x:c r="L341" s="98" t="str">
        <x:v>PENDING_OWNER_ELIGIBILITY_APPROVAL</x:v>
      </x:c>
      <x:c r="M341" s="98" t="b">
        <x:f>IF(E341="EOA_CANDIDATE",I341&gt;='Decision Summary'!$B$11,FALSE)</x:f>
        <x:v>0</x:v>
      </x:c>
      <x:c r="N341" s="98" t="str">
        <x:f>IF(M341,"DRAFT INCLUDE","HOLD / EXCLUDE")</x:f>
        <x:v>HOLD / EXCLUDE</x:v>
      </x:c>
      <x:c r="O341" s="101" t="str">
        <x:f>IF(M341,C341,"")</x:f>
      </x:c>
      <x:c r="P341" s="98" t="str">
        <x:f>IF(N341="DRAFT INCLUDE",ROUNDUP(COUNTIF($N$6:N341,"DRAFT INCLUDE")/'Decision Summary'!$B$12,0),"")</x:f>
      </x:c>
      <x:c r="Q341" s="98" t="str">
        <x:f>IF(N341="DRAFT INCLUDE",MOD(COUNTIF($N$6:N341,"DRAFT INCLUDE")-1,'Decision Summary'!$B$12)+1,"")</x:f>
      </x:c>
      <x:c r="R341" s="98" t="str">
        <x:v>PENDING</x:v>
      </x:c>
      <x:c r="S341" s="98" t="str"/>
      <x:c r="T341" s="98" t="str">
        <x:v>Ordinary EOA candidate; inclusion still depends on V1 deprecation, threshold policy and owner approval.</x:v>
      </x:c>
      <x:c r="U341" s="89" t="str">
        <x:v>https://etherscan.io/token/0x445d03f499f1c150615957bb87588fb465fc91cc#balances</x:v>
      </x:c>
      <x:c r="V341" s="89" t="b">
        <x:f>COUNTIF($C$6:$C$502,C341)&gt;1</x:f>
        <x:v>0</x:v>
      </x:c>
    </x:row>
    <x:row r="342">
      <x:c r="A342" s="89" t="n">
        <x:v>337</x:v>
      </x:c>
      <x:c r="B342" s="89" t="str">
        <x:v>v1-mainnet-0337</x:v>
      </x:c>
      <x:c r="C342" s="90" t="str">
        <x:v>0xc94cd6b027bcb9a4067c626bb2d605a38d7ae653</x:v>
      </x:c>
      <x:c r="D342" s="98" t="str"/>
      <x:c r="E342" s="98" t="str">
        <x:v>EOA_CANDIDATE</x:v>
      </x:c>
      <x:c r="F342" s="91" t="b">
        <x:v>0</x:v>
      </x:c>
      <x:c r="G342" s="89" t="n">
        <x:v>0</x:v>
      </x:c>
      <x:c r="H342" s="90" t="str">
        <x:v>5695100000000</x:v>
      </x:c>
      <x:c r="I342" s="92" t="n">
        <x:v>5.6951</x:v>
      </x:c>
      <x:c r="J342" s="92" t="str">
        <x:v>5695100000000000000</x:v>
      </x:c>
      <x:c r="K342" s="92" t="n">
        <x:v>5.6951</x:v>
      </x:c>
      <x:c r="L342" s="98" t="str">
        <x:v>PENDING_OWNER_ELIGIBILITY_APPROVAL</x:v>
      </x:c>
      <x:c r="M342" s="98" t="b">
        <x:f>IF(E342="EOA_CANDIDATE",I342&gt;='Decision Summary'!$B$11,FALSE)</x:f>
        <x:v>0</x:v>
      </x:c>
      <x:c r="N342" s="98" t="str">
        <x:f>IF(M342,"DRAFT INCLUDE","HOLD / EXCLUDE")</x:f>
        <x:v>HOLD / EXCLUDE</x:v>
      </x:c>
      <x:c r="O342" s="101" t="str">
        <x:f>IF(M342,C342,"")</x:f>
      </x:c>
      <x:c r="P342" s="98" t="str">
        <x:f>IF(N342="DRAFT INCLUDE",ROUNDUP(COUNTIF($N$6:N342,"DRAFT INCLUDE")/'Decision Summary'!$B$12,0),"")</x:f>
      </x:c>
      <x:c r="Q342" s="98" t="str">
        <x:f>IF(N342="DRAFT INCLUDE",MOD(COUNTIF($N$6:N342,"DRAFT INCLUDE")-1,'Decision Summary'!$B$12)+1,"")</x:f>
      </x:c>
      <x:c r="R342" s="98" t="str">
        <x:v>PENDING</x:v>
      </x:c>
      <x:c r="S342" s="98" t="str"/>
      <x:c r="T342" s="98" t="str">
        <x:v>Ordinary EOA candidate; inclusion still depends on V1 deprecation, threshold policy and owner approval.</x:v>
      </x:c>
      <x:c r="U342" s="89" t="str">
        <x:v>https://etherscan.io/token/0x445d03f499f1c150615957bb87588fb465fc91cc#balances</x:v>
      </x:c>
      <x:c r="V342" s="89" t="b">
        <x:f>COUNTIF($C$6:$C$502,C342)&gt;1</x:f>
        <x:v>0</x:v>
      </x:c>
    </x:row>
    <x:row r="343">
      <x:c r="A343" s="89" t="n">
        <x:v>338</x:v>
      </x:c>
      <x:c r="B343" s="89" t="str">
        <x:v>v1-mainnet-0338</x:v>
      </x:c>
      <x:c r="C343" s="90" t="str">
        <x:v>0x6b633c53374906bd1ea6511ed3619ff1b6bbec79</x:v>
      </x:c>
      <x:c r="D343" s="98" t="str"/>
      <x:c r="E343" s="98" t="str">
        <x:v>EOA_CANDIDATE</x:v>
      </x:c>
      <x:c r="F343" s="91" t="b">
        <x:v>0</x:v>
      </x:c>
      <x:c r="G343" s="89" t="n">
        <x:v>0</x:v>
      </x:c>
      <x:c r="H343" s="90" t="str">
        <x:v>5691200000000</x:v>
      </x:c>
      <x:c r="I343" s="92" t="n">
        <x:v>5.6912</x:v>
      </x:c>
      <x:c r="J343" s="92" t="str">
        <x:v>5691200000000000000</x:v>
      </x:c>
      <x:c r="K343" s="92" t="n">
        <x:v>5.6912</x:v>
      </x:c>
      <x:c r="L343" s="98" t="str">
        <x:v>PENDING_OWNER_ELIGIBILITY_APPROVAL</x:v>
      </x:c>
      <x:c r="M343" s="98" t="b">
        <x:f>IF(E343="EOA_CANDIDATE",I343&gt;='Decision Summary'!$B$11,FALSE)</x:f>
        <x:v>0</x:v>
      </x:c>
      <x:c r="N343" s="98" t="str">
        <x:f>IF(M343,"DRAFT INCLUDE","HOLD / EXCLUDE")</x:f>
        <x:v>HOLD / EXCLUDE</x:v>
      </x:c>
      <x:c r="O343" s="101" t="str">
        <x:f>IF(M343,C343,"")</x:f>
      </x:c>
      <x:c r="P343" s="98" t="str">
        <x:f>IF(N343="DRAFT INCLUDE",ROUNDUP(COUNTIF($N$6:N343,"DRAFT INCLUDE")/'Decision Summary'!$B$12,0),"")</x:f>
      </x:c>
      <x:c r="Q343" s="98" t="str">
        <x:f>IF(N343="DRAFT INCLUDE",MOD(COUNTIF($N$6:N343,"DRAFT INCLUDE")-1,'Decision Summary'!$B$12)+1,"")</x:f>
      </x:c>
      <x:c r="R343" s="98" t="str">
        <x:v>PENDING</x:v>
      </x:c>
      <x:c r="S343" s="98" t="str"/>
      <x:c r="T343" s="98" t="str">
        <x:v>Ordinary EOA candidate; inclusion still depends on V1 deprecation, threshold policy and owner approval.</x:v>
      </x:c>
      <x:c r="U343" s="89" t="str">
        <x:v>https://etherscan.io/token/0x445d03f499f1c150615957bb87588fb465fc91cc#balances</x:v>
      </x:c>
      <x:c r="V343" s="89" t="b">
        <x:f>COUNTIF($C$6:$C$502,C343)&gt;1</x:f>
        <x:v>0</x:v>
      </x:c>
    </x:row>
    <x:row r="344">
      <x:c r="A344" s="89" t="n">
        <x:v>339</x:v>
      </x:c>
      <x:c r="B344" s="89" t="str">
        <x:v>v1-mainnet-0339</x:v>
      </x:c>
      <x:c r="C344" s="90" t="str">
        <x:v>0x78a46db1fc712b9fe4f8f11400e1d02f31954816</x:v>
      </x:c>
      <x:c r="D344" s="98" t="str"/>
      <x:c r="E344" s="98" t="str">
        <x:v>EOA_CANDIDATE</x:v>
      </x:c>
      <x:c r="F344" s="91" t="b">
        <x:v>0</x:v>
      </x:c>
      <x:c r="G344" s="89" t="n">
        <x:v>0</x:v>
      </x:c>
      <x:c r="H344" s="90" t="str">
        <x:v>5625300000000</x:v>
      </x:c>
      <x:c r="I344" s="92" t="n">
        <x:v>5.6253</x:v>
      </x:c>
      <x:c r="J344" s="92" t="str">
        <x:v>5625300000000000000</x:v>
      </x:c>
      <x:c r="K344" s="92" t="n">
        <x:v>5.6253</x:v>
      </x:c>
      <x:c r="L344" s="98" t="str">
        <x:v>PENDING_OWNER_ELIGIBILITY_APPROVAL</x:v>
      </x:c>
      <x:c r="M344" s="98" t="b">
        <x:f>IF(E344="EOA_CANDIDATE",I344&gt;='Decision Summary'!$B$11,FALSE)</x:f>
        <x:v>0</x:v>
      </x:c>
      <x:c r="N344" s="98" t="str">
        <x:f>IF(M344,"DRAFT INCLUDE","HOLD / EXCLUDE")</x:f>
        <x:v>HOLD / EXCLUDE</x:v>
      </x:c>
      <x:c r="O344" s="101" t="str">
        <x:f>IF(M344,C344,"")</x:f>
      </x:c>
      <x:c r="P344" s="98" t="str">
        <x:f>IF(N344="DRAFT INCLUDE",ROUNDUP(COUNTIF($N$6:N344,"DRAFT INCLUDE")/'Decision Summary'!$B$12,0),"")</x:f>
      </x:c>
      <x:c r="Q344" s="98" t="str">
        <x:f>IF(N344="DRAFT INCLUDE",MOD(COUNTIF($N$6:N344,"DRAFT INCLUDE")-1,'Decision Summary'!$B$12)+1,"")</x:f>
      </x:c>
      <x:c r="R344" s="98" t="str">
        <x:v>PENDING</x:v>
      </x:c>
      <x:c r="S344" s="98" t="str"/>
      <x:c r="T344" s="98" t="str">
        <x:v>Ordinary EOA candidate; inclusion still depends on V1 deprecation, threshold policy and owner approval.</x:v>
      </x:c>
      <x:c r="U344" s="89" t="str">
        <x:v>https://etherscan.io/token/0x445d03f499f1c150615957bb87588fb465fc91cc#balances</x:v>
      </x:c>
      <x:c r="V344" s="89" t="b">
        <x:f>COUNTIF($C$6:$C$502,C344)&gt;1</x:f>
        <x:v>0</x:v>
      </x:c>
    </x:row>
    <x:row r="345">
      <x:c r="A345" s="89" t="n">
        <x:v>340</x:v>
      </x:c>
      <x:c r="B345" s="89" t="str">
        <x:v>v1-mainnet-0340</x:v>
      </x:c>
      <x:c r="C345" s="90" t="str">
        <x:v>0xa8329534fdbf4d97513a71ab96d2817ebedf88dd</x:v>
      </x:c>
      <x:c r="D345" s="98" t="str"/>
      <x:c r="E345" s="98" t="str">
        <x:v>EOA_CANDIDATE</x:v>
      </x:c>
      <x:c r="F345" s="91" t="b">
        <x:v>0</x:v>
      </x:c>
      <x:c r="G345" s="89" t="n">
        <x:v>0</x:v>
      </x:c>
      <x:c r="H345" s="90" t="str">
        <x:v>5526600000000</x:v>
      </x:c>
      <x:c r="I345" s="92" t="n">
        <x:v>5.5266</x:v>
      </x:c>
      <x:c r="J345" s="92" t="str">
        <x:v>5526600000000000000</x:v>
      </x:c>
      <x:c r="K345" s="92" t="n">
        <x:v>5.5266</x:v>
      </x:c>
      <x:c r="L345" s="98" t="str">
        <x:v>PENDING_OWNER_ELIGIBILITY_APPROVAL</x:v>
      </x:c>
      <x:c r="M345" s="98" t="b">
        <x:f>IF(E345="EOA_CANDIDATE",I345&gt;='Decision Summary'!$B$11,FALSE)</x:f>
        <x:v>0</x:v>
      </x:c>
      <x:c r="N345" s="98" t="str">
        <x:f>IF(M345,"DRAFT INCLUDE","HOLD / EXCLUDE")</x:f>
        <x:v>HOLD / EXCLUDE</x:v>
      </x:c>
      <x:c r="O345" s="101" t="str">
        <x:f>IF(M345,C345,"")</x:f>
      </x:c>
      <x:c r="P345" s="98" t="str">
        <x:f>IF(N345="DRAFT INCLUDE",ROUNDUP(COUNTIF($N$6:N345,"DRAFT INCLUDE")/'Decision Summary'!$B$12,0),"")</x:f>
      </x:c>
      <x:c r="Q345" s="98" t="str">
        <x:f>IF(N345="DRAFT INCLUDE",MOD(COUNTIF($N$6:N345,"DRAFT INCLUDE")-1,'Decision Summary'!$B$12)+1,"")</x:f>
      </x:c>
      <x:c r="R345" s="98" t="str">
        <x:v>PENDING</x:v>
      </x:c>
      <x:c r="S345" s="98" t="str"/>
      <x:c r="T345" s="98" t="str">
        <x:v>Ordinary EOA candidate; inclusion still depends on V1 deprecation, threshold policy and owner approval.</x:v>
      </x:c>
      <x:c r="U345" s="89" t="str">
        <x:v>https://etherscan.io/token/0x445d03f499f1c150615957bb87588fb465fc91cc#balances</x:v>
      </x:c>
      <x:c r="V345" s="89" t="b">
        <x:f>COUNTIF($C$6:$C$502,C345)&gt;1</x:f>
        <x:v>0</x:v>
      </x:c>
    </x:row>
    <x:row r="346">
      <x:c r="A346" s="89" t="n">
        <x:v>341</x:v>
      </x:c>
      <x:c r="B346" s="89" t="str">
        <x:v>v1-mainnet-0341</x:v>
      </x:c>
      <x:c r="C346" s="90" t="str">
        <x:v>0x8dfe45fd5d6b0304902117818286b169542bac28</x:v>
      </x:c>
      <x:c r="D346" s="98" t="str"/>
      <x:c r="E346" s="98" t="str">
        <x:v>EOA_CANDIDATE</x:v>
      </x:c>
      <x:c r="F346" s="91" t="b">
        <x:v>0</x:v>
      </x:c>
      <x:c r="G346" s="89" t="n">
        <x:v>0</x:v>
      </x:c>
      <x:c r="H346" s="90" t="str">
        <x:v>5515300000000</x:v>
      </x:c>
      <x:c r="I346" s="92" t="n">
        <x:v>5.5153</x:v>
      </x:c>
      <x:c r="J346" s="92" t="str">
        <x:v>5515300000000000000</x:v>
      </x:c>
      <x:c r="K346" s="92" t="n">
        <x:v>5.5153</x:v>
      </x:c>
      <x:c r="L346" s="98" t="str">
        <x:v>PENDING_OWNER_ELIGIBILITY_APPROVAL</x:v>
      </x:c>
      <x:c r="M346" s="98" t="b">
        <x:f>IF(E346="EOA_CANDIDATE",I346&gt;='Decision Summary'!$B$11,FALSE)</x:f>
        <x:v>0</x:v>
      </x:c>
      <x:c r="N346" s="98" t="str">
        <x:f>IF(M346,"DRAFT INCLUDE","HOLD / EXCLUDE")</x:f>
        <x:v>HOLD / EXCLUDE</x:v>
      </x:c>
      <x:c r="O346" s="101" t="str">
        <x:f>IF(M346,C346,"")</x:f>
      </x:c>
      <x:c r="P346" s="98" t="str">
        <x:f>IF(N346="DRAFT INCLUDE",ROUNDUP(COUNTIF($N$6:N346,"DRAFT INCLUDE")/'Decision Summary'!$B$12,0),"")</x:f>
      </x:c>
      <x:c r="Q346" s="98" t="str">
        <x:f>IF(N346="DRAFT INCLUDE",MOD(COUNTIF($N$6:N346,"DRAFT INCLUDE")-1,'Decision Summary'!$B$12)+1,"")</x:f>
      </x:c>
      <x:c r="R346" s="98" t="str">
        <x:v>PENDING</x:v>
      </x:c>
      <x:c r="S346" s="98" t="str"/>
      <x:c r="T346" s="98" t="str">
        <x:v>Ordinary EOA candidate; inclusion still depends on V1 deprecation, threshold policy and owner approval.</x:v>
      </x:c>
      <x:c r="U346" s="89" t="str">
        <x:v>https://etherscan.io/token/0x445d03f499f1c150615957bb87588fb465fc91cc#balances</x:v>
      </x:c>
      <x:c r="V346" s="89" t="b">
        <x:f>COUNTIF($C$6:$C$502,C346)&gt;1</x:f>
        <x:v>0</x:v>
      </x:c>
    </x:row>
    <x:row r="347">
      <x:c r="A347" s="89" t="n">
        <x:v>342</x:v>
      </x:c>
      <x:c r="B347" s="89" t="str">
        <x:v>v1-mainnet-0342</x:v>
      </x:c>
      <x:c r="C347" s="90" t="str">
        <x:v>0x2148a3f17d39c255af1bcbf91d536f3369f6feae</x:v>
      </x:c>
      <x:c r="D347" s="98" t="str"/>
      <x:c r="E347" s="98" t="str">
        <x:v>EOA_CANDIDATE</x:v>
      </x:c>
      <x:c r="F347" s="91" t="b">
        <x:v>0</x:v>
      </x:c>
      <x:c r="G347" s="89" t="n">
        <x:v>0</x:v>
      </x:c>
      <x:c r="H347" s="90" t="str">
        <x:v>5512300000000</x:v>
      </x:c>
      <x:c r="I347" s="92" t="n">
        <x:v>5.5123</x:v>
      </x:c>
      <x:c r="J347" s="92" t="str">
        <x:v>5512300000000000000</x:v>
      </x:c>
      <x:c r="K347" s="92" t="n">
        <x:v>5.5123</x:v>
      </x:c>
      <x:c r="L347" s="98" t="str">
        <x:v>PENDING_OWNER_ELIGIBILITY_APPROVAL</x:v>
      </x:c>
      <x:c r="M347" s="98" t="b">
        <x:f>IF(E347="EOA_CANDIDATE",I347&gt;='Decision Summary'!$B$11,FALSE)</x:f>
        <x:v>0</x:v>
      </x:c>
      <x:c r="N347" s="98" t="str">
        <x:f>IF(M347,"DRAFT INCLUDE","HOLD / EXCLUDE")</x:f>
        <x:v>HOLD / EXCLUDE</x:v>
      </x:c>
      <x:c r="O347" s="101" t="str">
        <x:f>IF(M347,C347,"")</x:f>
      </x:c>
      <x:c r="P347" s="98" t="str">
        <x:f>IF(N347="DRAFT INCLUDE",ROUNDUP(COUNTIF($N$6:N347,"DRAFT INCLUDE")/'Decision Summary'!$B$12,0),"")</x:f>
      </x:c>
      <x:c r="Q347" s="98" t="str">
        <x:f>IF(N347="DRAFT INCLUDE",MOD(COUNTIF($N$6:N347,"DRAFT INCLUDE")-1,'Decision Summary'!$B$12)+1,"")</x:f>
      </x:c>
      <x:c r="R347" s="98" t="str">
        <x:v>PENDING</x:v>
      </x:c>
      <x:c r="S347" s="98" t="str"/>
      <x:c r="T347" s="98" t="str">
        <x:v>Ordinary EOA candidate; inclusion still depends on V1 deprecation, threshold policy and owner approval.</x:v>
      </x:c>
      <x:c r="U347" s="89" t="str">
        <x:v>https://etherscan.io/token/0x445d03f499f1c150615957bb87588fb465fc91cc#balances</x:v>
      </x:c>
      <x:c r="V347" s="89" t="b">
        <x:f>COUNTIF($C$6:$C$502,C347)&gt;1</x:f>
        <x:v>0</x:v>
      </x:c>
    </x:row>
    <x:row r="348">
      <x:c r="A348" s="89" t="n">
        <x:v>343</x:v>
      </x:c>
      <x:c r="B348" s="89" t="str">
        <x:v>v1-mainnet-0343</x:v>
      </x:c>
      <x:c r="C348" s="90" t="str">
        <x:v>0xdf247051a48ca311b69f12452e84acb3fb47073a</x:v>
      </x:c>
      <x:c r="D348" s="98" t="str"/>
      <x:c r="E348" s="98" t="str">
        <x:v>EOA_CANDIDATE</x:v>
      </x:c>
      <x:c r="F348" s="91" t="b">
        <x:v>0</x:v>
      </x:c>
      <x:c r="G348" s="89" t="n">
        <x:v>0</x:v>
      </x:c>
      <x:c r="H348" s="90" t="str">
        <x:v>5479100000000</x:v>
      </x:c>
      <x:c r="I348" s="92" t="n">
        <x:v>5.4791</x:v>
      </x:c>
      <x:c r="J348" s="92" t="str">
        <x:v>5479100000000000000</x:v>
      </x:c>
      <x:c r="K348" s="92" t="n">
        <x:v>5.4791</x:v>
      </x:c>
      <x:c r="L348" s="98" t="str">
        <x:v>PENDING_OWNER_ELIGIBILITY_APPROVAL</x:v>
      </x:c>
      <x:c r="M348" s="98" t="b">
        <x:f>IF(E348="EOA_CANDIDATE",I348&gt;='Decision Summary'!$B$11,FALSE)</x:f>
        <x:v>0</x:v>
      </x:c>
      <x:c r="N348" s="98" t="str">
        <x:f>IF(M348,"DRAFT INCLUDE","HOLD / EXCLUDE")</x:f>
        <x:v>HOLD / EXCLUDE</x:v>
      </x:c>
      <x:c r="O348" s="101" t="str">
        <x:f>IF(M348,C348,"")</x:f>
      </x:c>
      <x:c r="P348" s="98" t="str">
        <x:f>IF(N348="DRAFT INCLUDE",ROUNDUP(COUNTIF($N$6:N348,"DRAFT INCLUDE")/'Decision Summary'!$B$12,0),"")</x:f>
      </x:c>
      <x:c r="Q348" s="98" t="str">
        <x:f>IF(N348="DRAFT INCLUDE",MOD(COUNTIF($N$6:N348,"DRAFT INCLUDE")-1,'Decision Summary'!$B$12)+1,"")</x:f>
      </x:c>
      <x:c r="R348" s="98" t="str">
        <x:v>PENDING</x:v>
      </x:c>
      <x:c r="S348" s="98" t="str"/>
      <x:c r="T348" s="98" t="str">
        <x:v>Ordinary EOA candidate; inclusion still depends on V1 deprecation, threshold policy and owner approval.</x:v>
      </x:c>
      <x:c r="U348" s="89" t="str">
        <x:v>https://etherscan.io/token/0x445d03f499f1c150615957bb87588fb465fc91cc#balances</x:v>
      </x:c>
      <x:c r="V348" s="89" t="b">
        <x:f>COUNTIF($C$6:$C$502,C348)&gt;1</x:f>
        <x:v>0</x:v>
      </x:c>
    </x:row>
    <x:row r="349">
      <x:c r="A349" s="89" t="n">
        <x:v>344</x:v>
      </x:c>
      <x:c r="B349" s="89" t="str">
        <x:v>v1-mainnet-0344</x:v>
      </x:c>
      <x:c r="C349" s="90" t="str">
        <x:v>0x08b1c171638ea7b4647d1872ab85116def922d1c</x:v>
      </x:c>
      <x:c r="D349" s="98" t="str"/>
      <x:c r="E349" s="98" t="str">
        <x:v>EOA_CANDIDATE</x:v>
      </x:c>
      <x:c r="F349" s="91" t="b">
        <x:v>0</x:v>
      </x:c>
      <x:c r="G349" s="89" t="n">
        <x:v>0</x:v>
      </x:c>
      <x:c r="H349" s="90" t="str">
        <x:v>5476000000000</x:v>
      </x:c>
      <x:c r="I349" s="92" t="n">
        <x:v>5.476</x:v>
      </x:c>
      <x:c r="J349" s="92" t="str">
        <x:v>5476000000000000000</x:v>
      </x:c>
      <x:c r="K349" s="92" t="n">
        <x:v>5.476</x:v>
      </x:c>
      <x:c r="L349" s="98" t="str">
        <x:v>PENDING_OWNER_ELIGIBILITY_APPROVAL</x:v>
      </x:c>
      <x:c r="M349" s="98" t="b">
        <x:f>IF(E349="EOA_CANDIDATE",I349&gt;='Decision Summary'!$B$11,FALSE)</x:f>
        <x:v>0</x:v>
      </x:c>
      <x:c r="N349" s="98" t="str">
        <x:f>IF(M349,"DRAFT INCLUDE","HOLD / EXCLUDE")</x:f>
        <x:v>HOLD / EXCLUDE</x:v>
      </x:c>
      <x:c r="O349" s="101" t="str">
        <x:f>IF(M349,C349,"")</x:f>
      </x:c>
      <x:c r="P349" s="98" t="str">
        <x:f>IF(N349="DRAFT INCLUDE",ROUNDUP(COUNTIF($N$6:N349,"DRAFT INCLUDE")/'Decision Summary'!$B$12,0),"")</x:f>
      </x:c>
      <x:c r="Q349" s="98" t="str">
        <x:f>IF(N349="DRAFT INCLUDE",MOD(COUNTIF($N$6:N349,"DRAFT INCLUDE")-1,'Decision Summary'!$B$12)+1,"")</x:f>
      </x:c>
      <x:c r="R349" s="98" t="str">
        <x:v>PENDING</x:v>
      </x:c>
      <x:c r="S349" s="98" t="str"/>
      <x:c r="T349" s="98" t="str">
        <x:v>Ordinary EOA candidate; inclusion still depends on V1 deprecation, threshold policy and owner approval.</x:v>
      </x:c>
      <x:c r="U349" s="89" t="str">
        <x:v>https://etherscan.io/token/0x445d03f499f1c150615957bb87588fb465fc91cc#balances</x:v>
      </x:c>
      <x:c r="V349" s="89" t="b">
        <x:f>COUNTIF($C$6:$C$502,C349)&gt;1</x:f>
        <x:v>0</x:v>
      </x:c>
    </x:row>
    <x:row r="350">
      <x:c r="A350" s="89" t="n">
        <x:v>345</x:v>
      </x:c>
      <x:c r="B350" s="89" t="str">
        <x:v>v1-mainnet-0345</x:v>
      </x:c>
      <x:c r="C350" s="90" t="str">
        <x:v>0x2c66df646cdce6bb446f243b4fffc28e665b3a8a</x:v>
      </x:c>
      <x:c r="D350" s="98" t="str"/>
      <x:c r="E350" s="98" t="str">
        <x:v>EOA_CANDIDATE</x:v>
      </x:c>
      <x:c r="F350" s="91" t="b">
        <x:v>0</x:v>
      </x:c>
      <x:c r="G350" s="89" t="n">
        <x:v>0</x:v>
      </x:c>
      <x:c r="H350" s="90" t="str">
        <x:v>5471000000000</x:v>
      </x:c>
      <x:c r="I350" s="92" t="n">
        <x:v>5.471</x:v>
      </x:c>
      <x:c r="J350" s="92" t="str">
        <x:v>5471000000000000000</x:v>
      </x:c>
      <x:c r="K350" s="92" t="n">
        <x:v>5.471</x:v>
      </x:c>
      <x:c r="L350" s="98" t="str">
        <x:v>PENDING_OWNER_ELIGIBILITY_APPROVAL</x:v>
      </x:c>
      <x:c r="M350" s="98" t="b">
        <x:f>IF(E350="EOA_CANDIDATE",I350&gt;='Decision Summary'!$B$11,FALSE)</x:f>
        <x:v>0</x:v>
      </x:c>
      <x:c r="N350" s="98" t="str">
        <x:f>IF(M350,"DRAFT INCLUDE","HOLD / EXCLUDE")</x:f>
        <x:v>HOLD / EXCLUDE</x:v>
      </x:c>
      <x:c r="O350" s="101" t="str">
        <x:f>IF(M350,C350,"")</x:f>
      </x:c>
      <x:c r="P350" s="98" t="str">
        <x:f>IF(N350="DRAFT INCLUDE",ROUNDUP(COUNTIF($N$6:N350,"DRAFT INCLUDE")/'Decision Summary'!$B$12,0),"")</x:f>
      </x:c>
      <x:c r="Q350" s="98" t="str">
        <x:f>IF(N350="DRAFT INCLUDE",MOD(COUNTIF($N$6:N350,"DRAFT INCLUDE")-1,'Decision Summary'!$B$12)+1,"")</x:f>
      </x:c>
      <x:c r="R350" s="98" t="str">
        <x:v>PENDING</x:v>
      </x:c>
      <x:c r="S350" s="98" t="str"/>
      <x:c r="T350" s="98" t="str">
        <x:v>Ordinary EOA candidate; inclusion still depends on V1 deprecation, threshold policy and owner approval.</x:v>
      </x:c>
      <x:c r="U350" s="89" t="str">
        <x:v>https://etherscan.io/token/0x445d03f499f1c150615957bb87588fb465fc91cc#balances</x:v>
      </x:c>
      <x:c r="V350" s="89" t="b">
        <x:f>COUNTIF($C$6:$C$502,C350)&gt;1</x:f>
        <x:v>0</x:v>
      </x:c>
    </x:row>
    <x:row r="351">
      <x:c r="A351" s="89" t="n">
        <x:v>346</x:v>
      </x:c>
      <x:c r="B351" s="89" t="str">
        <x:v>v1-mainnet-0346</x:v>
      </x:c>
      <x:c r="C351" s="90" t="str">
        <x:v>0xcb7f6a6f78b6025c6d5043fa3236c53ea542cfa2</x:v>
      </x:c>
      <x:c r="D351" s="98" t="str"/>
      <x:c r="E351" s="98" t="str">
        <x:v>EOA_CANDIDATE</x:v>
      </x:c>
      <x:c r="F351" s="91" t="b">
        <x:v>0</x:v>
      </x:c>
      <x:c r="G351" s="89" t="n">
        <x:v>0</x:v>
      </x:c>
      <x:c r="H351" s="90" t="str">
        <x:v>5460000000000</x:v>
      </x:c>
      <x:c r="I351" s="92" t="n">
        <x:v>5.46</x:v>
      </x:c>
      <x:c r="J351" s="92" t="str">
        <x:v>5460000000000000000</x:v>
      </x:c>
      <x:c r="K351" s="92" t="n">
        <x:v>5.46</x:v>
      </x:c>
      <x:c r="L351" s="98" t="str">
        <x:v>PENDING_OWNER_ELIGIBILITY_APPROVAL</x:v>
      </x:c>
      <x:c r="M351" s="98" t="b">
        <x:f>IF(E351="EOA_CANDIDATE",I351&gt;='Decision Summary'!$B$11,FALSE)</x:f>
        <x:v>0</x:v>
      </x:c>
      <x:c r="N351" s="98" t="str">
        <x:f>IF(M351,"DRAFT INCLUDE","HOLD / EXCLUDE")</x:f>
        <x:v>HOLD / EXCLUDE</x:v>
      </x:c>
      <x:c r="O351" s="101" t="str">
        <x:f>IF(M351,C351,"")</x:f>
      </x:c>
      <x:c r="P351" s="98" t="str">
        <x:f>IF(N351="DRAFT INCLUDE",ROUNDUP(COUNTIF($N$6:N351,"DRAFT INCLUDE")/'Decision Summary'!$B$12,0),"")</x:f>
      </x:c>
      <x:c r="Q351" s="98" t="str">
        <x:f>IF(N351="DRAFT INCLUDE",MOD(COUNTIF($N$6:N351,"DRAFT INCLUDE")-1,'Decision Summary'!$B$12)+1,"")</x:f>
      </x:c>
      <x:c r="R351" s="98" t="str">
        <x:v>PENDING</x:v>
      </x:c>
      <x:c r="S351" s="98" t="str"/>
      <x:c r="T351" s="98" t="str">
        <x:v>Ordinary EOA candidate; inclusion still depends on V1 deprecation, threshold policy and owner approval.</x:v>
      </x:c>
      <x:c r="U351" s="89" t="str">
        <x:v>https://etherscan.io/token/0x445d03f499f1c150615957bb87588fb465fc91cc#balances</x:v>
      </x:c>
      <x:c r="V351" s="89" t="b">
        <x:f>COUNTIF($C$6:$C$502,C351)&gt;1</x:f>
        <x:v>0</x:v>
      </x:c>
    </x:row>
    <x:row r="352">
      <x:c r="A352" s="89" t="n">
        <x:v>347</x:v>
      </x:c>
      <x:c r="B352" s="89" t="str">
        <x:v>v1-mainnet-0347</x:v>
      </x:c>
      <x:c r="C352" s="90" t="str">
        <x:v>0xd7e5ab7d0b102e54eaecace823233a23206ca706</x:v>
      </x:c>
      <x:c r="D352" s="98" t="str"/>
      <x:c r="E352" s="98" t="str">
        <x:v>EOA_CANDIDATE</x:v>
      </x:c>
      <x:c r="F352" s="91" t="b">
        <x:v>0</x:v>
      </x:c>
      <x:c r="G352" s="89" t="n">
        <x:v>0</x:v>
      </x:c>
      <x:c r="H352" s="90" t="str">
        <x:v>5424600000000</x:v>
      </x:c>
      <x:c r="I352" s="92" t="n">
        <x:v>5.4246</x:v>
      </x:c>
      <x:c r="J352" s="92" t="str">
        <x:v>5424600000000000000</x:v>
      </x:c>
      <x:c r="K352" s="92" t="n">
        <x:v>5.4246</x:v>
      </x:c>
      <x:c r="L352" s="98" t="str">
        <x:v>PENDING_OWNER_ELIGIBILITY_APPROVAL</x:v>
      </x:c>
      <x:c r="M352" s="98" t="b">
        <x:f>IF(E352="EOA_CANDIDATE",I352&gt;='Decision Summary'!$B$11,FALSE)</x:f>
        <x:v>0</x:v>
      </x:c>
      <x:c r="N352" s="98" t="str">
        <x:f>IF(M352,"DRAFT INCLUDE","HOLD / EXCLUDE")</x:f>
        <x:v>HOLD / EXCLUDE</x:v>
      </x:c>
      <x:c r="O352" s="101" t="str">
        <x:f>IF(M352,C352,"")</x:f>
      </x:c>
      <x:c r="P352" s="98" t="str">
        <x:f>IF(N352="DRAFT INCLUDE",ROUNDUP(COUNTIF($N$6:N352,"DRAFT INCLUDE")/'Decision Summary'!$B$12,0),"")</x:f>
      </x:c>
      <x:c r="Q352" s="98" t="str">
        <x:f>IF(N352="DRAFT INCLUDE",MOD(COUNTIF($N$6:N352,"DRAFT INCLUDE")-1,'Decision Summary'!$B$12)+1,"")</x:f>
      </x:c>
      <x:c r="R352" s="98" t="str">
        <x:v>PENDING</x:v>
      </x:c>
      <x:c r="S352" s="98" t="str"/>
      <x:c r="T352" s="98" t="str">
        <x:v>Ordinary EOA candidate; inclusion still depends on V1 deprecation, threshold policy and owner approval.</x:v>
      </x:c>
      <x:c r="U352" s="89" t="str">
        <x:v>https://etherscan.io/token/0x445d03f499f1c150615957bb87588fb465fc91cc#balances</x:v>
      </x:c>
      <x:c r="V352" s="89" t="b">
        <x:f>COUNTIF($C$6:$C$502,C352)&gt;1</x:f>
        <x:v>0</x:v>
      </x:c>
    </x:row>
    <x:row r="353">
      <x:c r="A353" s="89" t="n">
        <x:v>348</x:v>
      </x:c>
      <x:c r="B353" s="89" t="str">
        <x:v>v1-mainnet-0348</x:v>
      </x:c>
      <x:c r="C353" s="90" t="str">
        <x:v>0x52bfca42268519d730ae1a0dfb2a15324ed90e81</x:v>
      </x:c>
      <x:c r="D353" s="98" t="str"/>
      <x:c r="E353" s="98" t="str">
        <x:v>EOA_CANDIDATE</x:v>
      </x:c>
      <x:c r="F353" s="91" t="b">
        <x:v>0</x:v>
      </x:c>
      <x:c r="G353" s="89" t="n">
        <x:v>0</x:v>
      </x:c>
      <x:c r="H353" s="90" t="str">
        <x:v>5419300000000</x:v>
      </x:c>
      <x:c r="I353" s="92" t="n">
        <x:v>5.4193</x:v>
      </x:c>
      <x:c r="J353" s="92" t="str">
        <x:v>5419300000000000000</x:v>
      </x:c>
      <x:c r="K353" s="92" t="n">
        <x:v>5.4193</x:v>
      </x:c>
      <x:c r="L353" s="98" t="str">
        <x:v>PENDING_OWNER_ELIGIBILITY_APPROVAL</x:v>
      </x:c>
      <x:c r="M353" s="98" t="b">
        <x:f>IF(E353="EOA_CANDIDATE",I353&gt;='Decision Summary'!$B$11,FALSE)</x:f>
        <x:v>0</x:v>
      </x:c>
      <x:c r="N353" s="98" t="str">
        <x:f>IF(M353,"DRAFT INCLUDE","HOLD / EXCLUDE")</x:f>
        <x:v>HOLD / EXCLUDE</x:v>
      </x:c>
      <x:c r="O353" s="101" t="str">
        <x:f>IF(M353,C353,"")</x:f>
      </x:c>
      <x:c r="P353" s="98" t="str">
        <x:f>IF(N353="DRAFT INCLUDE",ROUNDUP(COUNTIF($N$6:N353,"DRAFT INCLUDE")/'Decision Summary'!$B$12,0),"")</x:f>
      </x:c>
      <x:c r="Q353" s="98" t="str">
        <x:f>IF(N353="DRAFT INCLUDE",MOD(COUNTIF($N$6:N353,"DRAFT INCLUDE")-1,'Decision Summary'!$B$12)+1,"")</x:f>
      </x:c>
      <x:c r="R353" s="98" t="str">
        <x:v>PENDING</x:v>
      </x:c>
      <x:c r="S353" s="98" t="str"/>
      <x:c r="T353" s="98" t="str">
        <x:v>Ordinary EOA candidate; inclusion still depends on V1 deprecation, threshold policy and owner approval.</x:v>
      </x:c>
      <x:c r="U353" s="89" t="str">
        <x:v>https://etherscan.io/token/0x445d03f499f1c150615957bb87588fb465fc91cc#balances</x:v>
      </x:c>
      <x:c r="V353" s="89" t="b">
        <x:f>COUNTIF($C$6:$C$502,C353)&gt;1</x:f>
        <x:v>0</x:v>
      </x:c>
    </x:row>
    <x:row r="354">
      <x:c r="A354" s="89" t="n">
        <x:v>349</x:v>
      </x:c>
      <x:c r="B354" s="89" t="str">
        <x:v>v1-mainnet-0349</x:v>
      </x:c>
      <x:c r="C354" s="90" t="str">
        <x:v>0xa99587024bbab12b399f522d5bc824c95cc29915</x:v>
      </x:c>
      <x:c r="D354" s="98" t="str"/>
      <x:c r="E354" s="98" t="str">
        <x:v>EOA_CANDIDATE</x:v>
      </x:c>
      <x:c r="F354" s="91" t="b">
        <x:v>0</x:v>
      </x:c>
      <x:c r="G354" s="89" t="n">
        <x:v>0</x:v>
      </x:c>
      <x:c r="H354" s="90" t="str">
        <x:v>5389400000000</x:v>
      </x:c>
      <x:c r="I354" s="92" t="n">
        <x:v>5.3894</x:v>
      </x:c>
      <x:c r="J354" s="92" t="str">
        <x:v>5389400000000000000</x:v>
      </x:c>
      <x:c r="K354" s="92" t="n">
        <x:v>5.3894</x:v>
      </x:c>
      <x:c r="L354" s="98" t="str">
        <x:v>PENDING_OWNER_ELIGIBILITY_APPROVAL</x:v>
      </x:c>
      <x:c r="M354" s="98" t="b">
        <x:f>IF(E354="EOA_CANDIDATE",I354&gt;='Decision Summary'!$B$11,FALSE)</x:f>
        <x:v>0</x:v>
      </x:c>
      <x:c r="N354" s="98" t="str">
        <x:f>IF(M354,"DRAFT INCLUDE","HOLD / EXCLUDE")</x:f>
        <x:v>HOLD / EXCLUDE</x:v>
      </x:c>
      <x:c r="O354" s="101" t="str">
        <x:f>IF(M354,C354,"")</x:f>
      </x:c>
      <x:c r="P354" s="98" t="str">
        <x:f>IF(N354="DRAFT INCLUDE",ROUNDUP(COUNTIF($N$6:N354,"DRAFT INCLUDE")/'Decision Summary'!$B$12,0),"")</x:f>
      </x:c>
      <x:c r="Q354" s="98" t="str">
        <x:f>IF(N354="DRAFT INCLUDE",MOD(COUNTIF($N$6:N354,"DRAFT INCLUDE")-1,'Decision Summary'!$B$12)+1,"")</x:f>
      </x:c>
      <x:c r="R354" s="98" t="str">
        <x:v>PENDING</x:v>
      </x:c>
      <x:c r="S354" s="98" t="str"/>
      <x:c r="T354" s="98" t="str">
        <x:v>Ordinary EOA candidate; inclusion still depends on V1 deprecation, threshold policy and owner approval.</x:v>
      </x:c>
      <x:c r="U354" s="89" t="str">
        <x:v>https://etherscan.io/token/0x445d03f499f1c150615957bb87588fb465fc91cc#balances</x:v>
      </x:c>
      <x:c r="V354" s="89" t="b">
        <x:f>COUNTIF($C$6:$C$502,C354)&gt;1</x:f>
        <x:v>0</x:v>
      </x:c>
    </x:row>
    <x:row r="355">
      <x:c r="A355" s="89" t="n">
        <x:v>350</x:v>
      </x:c>
      <x:c r="B355" s="89" t="str">
        <x:v>v1-mainnet-0350</x:v>
      </x:c>
      <x:c r="C355" s="90" t="str">
        <x:v>0x49543b451077b53a97927f53161d953da5aedf1f</x:v>
      </x:c>
      <x:c r="D355" s="98" t="str"/>
      <x:c r="E355" s="98" t="str">
        <x:v>EOA_CANDIDATE</x:v>
      </x:c>
      <x:c r="F355" s="91" t="b">
        <x:v>0</x:v>
      </x:c>
      <x:c r="G355" s="89" t="n">
        <x:v>0</x:v>
      </x:c>
      <x:c r="H355" s="90" t="str">
        <x:v>5367300000000</x:v>
      </x:c>
      <x:c r="I355" s="92" t="n">
        <x:v>5.3673</x:v>
      </x:c>
      <x:c r="J355" s="92" t="str">
        <x:v>5367300000000000000</x:v>
      </x:c>
      <x:c r="K355" s="92" t="n">
        <x:v>5.3673</x:v>
      </x:c>
      <x:c r="L355" s="98" t="str">
        <x:v>PENDING_OWNER_ELIGIBILITY_APPROVAL</x:v>
      </x:c>
      <x:c r="M355" s="98" t="b">
        <x:f>IF(E355="EOA_CANDIDATE",I355&gt;='Decision Summary'!$B$11,FALSE)</x:f>
        <x:v>0</x:v>
      </x:c>
      <x:c r="N355" s="98" t="str">
        <x:f>IF(M355,"DRAFT INCLUDE","HOLD / EXCLUDE")</x:f>
        <x:v>HOLD / EXCLUDE</x:v>
      </x:c>
      <x:c r="O355" s="101" t="str">
        <x:f>IF(M355,C355,"")</x:f>
      </x:c>
      <x:c r="P355" s="98" t="str">
        <x:f>IF(N355="DRAFT INCLUDE",ROUNDUP(COUNTIF($N$6:N355,"DRAFT INCLUDE")/'Decision Summary'!$B$12,0),"")</x:f>
      </x:c>
      <x:c r="Q355" s="98" t="str">
        <x:f>IF(N355="DRAFT INCLUDE",MOD(COUNTIF($N$6:N355,"DRAFT INCLUDE")-1,'Decision Summary'!$B$12)+1,"")</x:f>
      </x:c>
      <x:c r="R355" s="98" t="str">
        <x:v>PENDING</x:v>
      </x:c>
      <x:c r="S355" s="98" t="str"/>
      <x:c r="T355" s="98" t="str">
        <x:v>Ordinary EOA candidate; inclusion still depends on V1 deprecation, threshold policy and owner approval.</x:v>
      </x:c>
      <x:c r="U355" s="89" t="str">
        <x:v>https://etherscan.io/token/0x445d03f499f1c150615957bb87588fb465fc91cc#balances</x:v>
      </x:c>
      <x:c r="V355" s="89" t="b">
        <x:f>COUNTIF($C$6:$C$502,C355)&gt;1</x:f>
        <x:v>0</x:v>
      </x:c>
    </x:row>
    <x:row r="356">
      <x:c r="A356" s="89" t="n">
        <x:v>351</x:v>
      </x:c>
      <x:c r="B356" s="89" t="str">
        <x:v>v1-mainnet-0351</x:v>
      </x:c>
      <x:c r="C356" s="90" t="str">
        <x:v>0x0969f9320d84737560dbb85868b712d2276a7c2a</x:v>
      </x:c>
      <x:c r="D356" s="98" t="str"/>
      <x:c r="E356" s="98" t="str">
        <x:v>EOA_CANDIDATE</x:v>
      </x:c>
      <x:c r="F356" s="91" t="b">
        <x:v>0</x:v>
      </x:c>
      <x:c r="G356" s="89" t="n">
        <x:v>0</x:v>
      </x:c>
      <x:c r="H356" s="90" t="str">
        <x:v>5346300000000</x:v>
      </x:c>
      <x:c r="I356" s="92" t="n">
        <x:v>5.3463</x:v>
      </x:c>
      <x:c r="J356" s="92" t="str">
        <x:v>5346300000000000000</x:v>
      </x:c>
      <x:c r="K356" s="92" t="n">
        <x:v>5.3463</x:v>
      </x:c>
      <x:c r="L356" s="98" t="str">
        <x:v>PENDING_OWNER_ELIGIBILITY_APPROVAL</x:v>
      </x:c>
      <x:c r="M356" s="98" t="b">
        <x:f>IF(E356="EOA_CANDIDATE",I356&gt;='Decision Summary'!$B$11,FALSE)</x:f>
        <x:v>0</x:v>
      </x:c>
      <x:c r="N356" s="98" t="str">
        <x:f>IF(M356,"DRAFT INCLUDE","HOLD / EXCLUDE")</x:f>
        <x:v>HOLD / EXCLUDE</x:v>
      </x:c>
      <x:c r="O356" s="101" t="str">
        <x:f>IF(M356,C356,"")</x:f>
      </x:c>
      <x:c r="P356" s="98" t="str">
        <x:f>IF(N356="DRAFT INCLUDE",ROUNDUP(COUNTIF($N$6:N356,"DRAFT INCLUDE")/'Decision Summary'!$B$12,0),"")</x:f>
      </x:c>
      <x:c r="Q356" s="98" t="str">
        <x:f>IF(N356="DRAFT INCLUDE",MOD(COUNTIF($N$6:N356,"DRAFT INCLUDE")-1,'Decision Summary'!$B$12)+1,"")</x:f>
      </x:c>
      <x:c r="R356" s="98" t="str">
        <x:v>PENDING</x:v>
      </x:c>
      <x:c r="S356" s="98" t="str"/>
      <x:c r="T356" s="98" t="str">
        <x:v>Ordinary EOA candidate; inclusion still depends on V1 deprecation, threshold policy and owner approval.</x:v>
      </x:c>
      <x:c r="U356" s="89" t="str">
        <x:v>https://etherscan.io/token/0x445d03f499f1c150615957bb87588fb465fc91cc#balances</x:v>
      </x:c>
      <x:c r="V356" s="89" t="b">
        <x:f>COUNTIF($C$6:$C$502,C356)&gt;1</x:f>
        <x:v>0</x:v>
      </x:c>
    </x:row>
    <x:row r="357">
      <x:c r="A357" s="89" t="n">
        <x:v>352</x:v>
      </x:c>
      <x:c r="B357" s="89" t="str">
        <x:v>v1-mainnet-0352</x:v>
      </x:c>
      <x:c r="C357" s="90" t="str">
        <x:v>0xad537c2581de76d86f9181f7a993a86da7bb3225</x:v>
      </x:c>
      <x:c r="D357" s="98" t="str"/>
      <x:c r="E357" s="98" t="str">
        <x:v>EOA_CANDIDATE</x:v>
      </x:c>
      <x:c r="F357" s="91" t="b">
        <x:v>0</x:v>
      </x:c>
      <x:c r="G357" s="89" t="n">
        <x:v>0</x:v>
      </x:c>
      <x:c r="H357" s="90" t="str">
        <x:v>5318100000000</x:v>
      </x:c>
      <x:c r="I357" s="92" t="n">
        <x:v>5.3181</x:v>
      </x:c>
      <x:c r="J357" s="92" t="str">
        <x:v>5318100000000000000</x:v>
      </x:c>
      <x:c r="K357" s="92" t="n">
        <x:v>5.3181</x:v>
      </x:c>
      <x:c r="L357" s="98" t="str">
        <x:v>PENDING_OWNER_ELIGIBILITY_APPROVAL</x:v>
      </x:c>
      <x:c r="M357" s="98" t="b">
        <x:f>IF(E357="EOA_CANDIDATE",I357&gt;='Decision Summary'!$B$11,FALSE)</x:f>
        <x:v>0</x:v>
      </x:c>
      <x:c r="N357" s="98" t="str">
        <x:f>IF(M357,"DRAFT INCLUDE","HOLD / EXCLUDE")</x:f>
        <x:v>HOLD / EXCLUDE</x:v>
      </x:c>
      <x:c r="O357" s="101" t="str">
        <x:f>IF(M357,C357,"")</x:f>
      </x:c>
      <x:c r="P357" s="98" t="str">
        <x:f>IF(N357="DRAFT INCLUDE",ROUNDUP(COUNTIF($N$6:N357,"DRAFT INCLUDE")/'Decision Summary'!$B$12,0),"")</x:f>
      </x:c>
      <x:c r="Q357" s="98" t="str">
        <x:f>IF(N357="DRAFT INCLUDE",MOD(COUNTIF($N$6:N357,"DRAFT INCLUDE")-1,'Decision Summary'!$B$12)+1,"")</x:f>
      </x:c>
      <x:c r="R357" s="98" t="str">
        <x:v>PENDING</x:v>
      </x:c>
      <x:c r="S357" s="98" t="str"/>
      <x:c r="T357" s="98" t="str">
        <x:v>Ordinary EOA candidate; inclusion still depends on V1 deprecation, threshold policy and owner approval.</x:v>
      </x:c>
      <x:c r="U357" s="89" t="str">
        <x:v>https://etherscan.io/token/0x445d03f499f1c150615957bb87588fb465fc91cc#balances</x:v>
      </x:c>
      <x:c r="V357" s="89" t="b">
        <x:f>COUNTIF($C$6:$C$502,C357)&gt;1</x:f>
        <x:v>0</x:v>
      </x:c>
    </x:row>
    <x:row r="358">
      <x:c r="A358" s="89" t="n">
        <x:v>353</x:v>
      </x:c>
      <x:c r="B358" s="89" t="str">
        <x:v>v1-mainnet-0353</x:v>
      </x:c>
      <x:c r="C358" s="90" t="str">
        <x:v>0xdeb644a201617589554ea94e7f90337677926ad4</x:v>
      </x:c>
      <x:c r="D358" s="98" t="str"/>
      <x:c r="E358" s="98" t="str">
        <x:v>EOA_CANDIDATE</x:v>
      </x:c>
      <x:c r="F358" s="91" t="b">
        <x:v>0</x:v>
      </x:c>
      <x:c r="G358" s="89" t="n">
        <x:v>0</x:v>
      </x:c>
      <x:c r="H358" s="90" t="str">
        <x:v>5310400000000</x:v>
      </x:c>
      <x:c r="I358" s="92" t="n">
        <x:v>5.3104</x:v>
      </x:c>
      <x:c r="J358" s="92" t="str">
        <x:v>5310400000000000000</x:v>
      </x:c>
      <x:c r="K358" s="92" t="n">
        <x:v>5.3104</x:v>
      </x:c>
      <x:c r="L358" s="98" t="str">
        <x:v>PENDING_OWNER_ELIGIBILITY_APPROVAL</x:v>
      </x:c>
      <x:c r="M358" s="98" t="b">
        <x:f>IF(E358="EOA_CANDIDATE",I358&gt;='Decision Summary'!$B$11,FALSE)</x:f>
        <x:v>0</x:v>
      </x:c>
      <x:c r="N358" s="98" t="str">
        <x:f>IF(M358,"DRAFT INCLUDE","HOLD / EXCLUDE")</x:f>
        <x:v>HOLD / EXCLUDE</x:v>
      </x:c>
      <x:c r="O358" s="101" t="str">
        <x:f>IF(M358,C358,"")</x:f>
      </x:c>
      <x:c r="P358" s="98" t="str">
        <x:f>IF(N358="DRAFT INCLUDE",ROUNDUP(COUNTIF($N$6:N358,"DRAFT INCLUDE")/'Decision Summary'!$B$12,0),"")</x:f>
      </x:c>
      <x:c r="Q358" s="98" t="str">
        <x:f>IF(N358="DRAFT INCLUDE",MOD(COUNTIF($N$6:N358,"DRAFT INCLUDE")-1,'Decision Summary'!$B$12)+1,"")</x:f>
      </x:c>
      <x:c r="R358" s="98" t="str">
        <x:v>PENDING</x:v>
      </x:c>
      <x:c r="S358" s="98" t="str"/>
      <x:c r="T358" s="98" t="str">
        <x:v>Ordinary EOA candidate; inclusion still depends on V1 deprecation, threshold policy and owner approval.</x:v>
      </x:c>
      <x:c r="U358" s="89" t="str">
        <x:v>https://etherscan.io/token/0x445d03f499f1c150615957bb87588fb465fc91cc#balances</x:v>
      </x:c>
      <x:c r="V358" s="89" t="b">
        <x:f>COUNTIF($C$6:$C$502,C358)&gt;1</x:f>
        <x:v>0</x:v>
      </x:c>
    </x:row>
    <x:row r="359">
      <x:c r="A359" s="89" t="n">
        <x:v>354</x:v>
      </x:c>
      <x:c r="B359" s="89" t="str">
        <x:v>v1-mainnet-0354</x:v>
      </x:c>
      <x:c r="C359" s="90" t="str">
        <x:v>0xeaf853bd4488ca7eac268b92e070470f87319230</x:v>
      </x:c>
      <x:c r="D359" s="98" t="str"/>
      <x:c r="E359" s="98" t="str">
        <x:v>EOA_CANDIDATE</x:v>
      </x:c>
      <x:c r="F359" s="91" t="b">
        <x:v>0</x:v>
      </x:c>
      <x:c r="G359" s="89" t="n">
        <x:v>0</x:v>
      </x:c>
      <x:c r="H359" s="90" t="str">
        <x:v>5305200000000</x:v>
      </x:c>
      <x:c r="I359" s="92" t="n">
        <x:v>5.3052</x:v>
      </x:c>
      <x:c r="J359" s="92" t="str">
        <x:v>5305200000000000000</x:v>
      </x:c>
      <x:c r="K359" s="92" t="n">
        <x:v>5.3052</x:v>
      </x:c>
      <x:c r="L359" s="98" t="str">
        <x:v>PENDING_OWNER_ELIGIBILITY_APPROVAL</x:v>
      </x:c>
      <x:c r="M359" s="98" t="b">
        <x:f>IF(E359="EOA_CANDIDATE",I359&gt;='Decision Summary'!$B$11,FALSE)</x:f>
        <x:v>0</x:v>
      </x:c>
      <x:c r="N359" s="98" t="str">
        <x:f>IF(M359,"DRAFT INCLUDE","HOLD / EXCLUDE")</x:f>
        <x:v>HOLD / EXCLUDE</x:v>
      </x:c>
      <x:c r="O359" s="101" t="str">
        <x:f>IF(M359,C359,"")</x:f>
      </x:c>
      <x:c r="P359" s="98" t="str">
        <x:f>IF(N359="DRAFT INCLUDE",ROUNDUP(COUNTIF($N$6:N359,"DRAFT INCLUDE")/'Decision Summary'!$B$12,0),"")</x:f>
      </x:c>
      <x:c r="Q359" s="98" t="str">
        <x:f>IF(N359="DRAFT INCLUDE",MOD(COUNTIF($N$6:N359,"DRAFT INCLUDE")-1,'Decision Summary'!$B$12)+1,"")</x:f>
      </x:c>
      <x:c r="R359" s="98" t="str">
        <x:v>PENDING</x:v>
      </x:c>
      <x:c r="S359" s="98" t="str"/>
      <x:c r="T359" s="98" t="str">
        <x:v>Ordinary EOA candidate; inclusion still depends on V1 deprecation, threshold policy and owner approval.</x:v>
      </x:c>
      <x:c r="U359" s="89" t="str">
        <x:v>https://etherscan.io/token/0x445d03f499f1c150615957bb87588fb465fc91cc#balances</x:v>
      </x:c>
      <x:c r="V359" s="89" t="b">
        <x:f>COUNTIF($C$6:$C$502,C359)&gt;1</x:f>
        <x:v>0</x:v>
      </x:c>
    </x:row>
    <x:row r="360">
      <x:c r="A360" s="89" t="n">
        <x:v>355</x:v>
      </x:c>
      <x:c r="B360" s="89" t="str">
        <x:v>v1-mainnet-0355</x:v>
      </x:c>
      <x:c r="C360" s="90" t="str">
        <x:v>0x1ce14e349ab82ec464eb1fa1c745b110b1f0ca2d</x:v>
      </x:c>
      <x:c r="D360" s="98" t="str"/>
      <x:c r="E360" s="98" t="str">
        <x:v>EOA_CANDIDATE</x:v>
      </x:c>
      <x:c r="F360" s="91" t="b">
        <x:v>0</x:v>
      </x:c>
      <x:c r="G360" s="89" t="n">
        <x:v>0</x:v>
      </x:c>
      <x:c r="H360" s="90" t="str">
        <x:v>5222900000000</x:v>
      </x:c>
      <x:c r="I360" s="92" t="n">
        <x:v>5.2229</x:v>
      </x:c>
      <x:c r="J360" s="92" t="str">
        <x:v>5222900000000000000</x:v>
      </x:c>
      <x:c r="K360" s="92" t="n">
        <x:v>5.2229</x:v>
      </x:c>
      <x:c r="L360" s="98" t="str">
        <x:v>PENDING_OWNER_ELIGIBILITY_APPROVAL</x:v>
      </x:c>
      <x:c r="M360" s="98" t="b">
        <x:f>IF(E360="EOA_CANDIDATE",I360&gt;='Decision Summary'!$B$11,FALSE)</x:f>
        <x:v>0</x:v>
      </x:c>
      <x:c r="N360" s="98" t="str">
        <x:f>IF(M360,"DRAFT INCLUDE","HOLD / EXCLUDE")</x:f>
        <x:v>HOLD / EXCLUDE</x:v>
      </x:c>
      <x:c r="O360" s="101" t="str">
        <x:f>IF(M360,C360,"")</x:f>
      </x:c>
      <x:c r="P360" s="98" t="str">
        <x:f>IF(N360="DRAFT INCLUDE",ROUNDUP(COUNTIF($N$6:N360,"DRAFT INCLUDE")/'Decision Summary'!$B$12,0),"")</x:f>
      </x:c>
      <x:c r="Q360" s="98" t="str">
        <x:f>IF(N360="DRAFT INCLUDE",MOD(COUNTIF($N$6:N360,"DRAFT INCLUDE")-1,'Decision Summary'!$B$12)+1,"")</x:f>
      </x:c>
      <x:c r="R360" s="98" t="str">
        <x:v>PENDING</x:v>
      </x:c>
      <x:c r="S360" s="98" t="str"/>
      <x:c r="T360" s="98" t="str">
        <x:v>Ordinary EOA candidate; inclusion still depends on V1 deprecation, threshold policy and owner approval.</x:v>
      </x:c>
      <x:c r="U360" s="89" t="str">
        <x:v>https://etherscan.io/token/0x445d03f499f1c150615957bb87588fb465fc91cc#balances</x:v>
      </x:c>
      <x:c r="V360" s="89" t="b">
        <x:f>COUNTIF($C$6:$C$502,C360)&gt;1</x:f>
        <x:v>0</x:v>
      </x:c>
    </x:row>
    <x:row r="361">
      <x:c r="A361" s="89" t="n">
        <x:v>356</x:v>
      </x:c>
      <x:c r="B361" s="89" t="str">
        <x:v>v1-mainnet-0356</x:v>
      </x:c>
      <x:c r="C361" s="90" t="str">
        <x:v>0xdd8dac95c0ff76491b9a647a0279309a205a1c07</x:v>
      </x:c>
      <x:c r="D361" s="98" t="str"/>
      <x:c r="E361" s="98" t="str">
        <x:v>EOA_CANDIDATE</x:v>
      </x:c>
      <x:c r="F361" s="91" t="b">
        <x:v>0</x:v>
      </x:c>
      <x:c r="G361" s="89" t="n">
        <x:v>0</x:v>
      </x:c>
      <x:c r="H361" s="90" t="str">
        <x:v>5209000000000</x:v>
      </x:c>
      <x:c r="I361" s="92" t="n">
        <x:v>5.209</x:v>
      </x:c>
      <x:c r="J361" s="92" t="str">
        <x:v>5209000000000000000</x:v>
      </x:c>
      <x:c r="K361" s="92" t="n">
        <x:v>5.209</x:v>
      </x:c>
      <x:c r="L361" s="98" t="str">
        <x:v>PENDING_OWNER_ELIGIBILITY_APPROVAL</x:v>
      </x:c>
      <x:c r="M361" s="98" t="b">
        <x:f>IF(E361="EOA_CANDIDATE",I361&gt;='Decision Summary'!$B$11,FALSE)</x:f>
        <x:v>0</x:v>
      </x:c>
      <x:c r="N361" s="98" t="str">
        <x:f>IF(M361,"DRAFT INCLUDE","HOLD / EXCLUDE")</x:f>
        <x:v>HOLD / EXCLUDE</x:v>
      </x:c>
      <x:c r="O361" s="101" t="str">
        <x:f>IF(M361,C361,"")</x:f>
      </x:c>
      <x:c r="P361" s="98" t="str">
        <x:f>IF(N361="DRAFT INCLUDE",ROUNDUP(COUNTIF($N$6:N361,"DRAFT INCLUDE")/'Decision Summary'!$B$12,0),"")</x:f>
      </x:c>
      <x:c r="Q361" s="98" t="str">
        <x:f>IF(N361="DRAFT INCLUDE",MOD(COUNTIF($N$6:N361,"DRAFT INCLUDE")-1,'Decision Summary'!$B$12)+1,"")</x:f>
      </x:c>
      <x:c r="R361" s="98" t="str">
        <x:v>PENDING</x:v>
      </x:c>
      <x:c r="S361" s="98" t="str"/>
      <x:c r="T361" s="98" t="str">
        <x:v>Ordinary EOA candidate; inclusion still depends on V1 deprecation, threshold policy and owner approval.</x:v>
      </x:c>
      <x:c r="U361" s="89" t="str">
        <x:v>https://etherscan.io/token/0x445d03f499f1c150615957bb87588fb465fc91cc#balances</x:v>
      </x:c>
      <x:c r="V361" s="89" t="b">
        <x:f>COUNTIF($C$6:$C$502,C361)&gt;1</x:f>
        <x:v>0</x:v>
      </x:c>
    </x:row>
    <x:row r="362">
      <x:c r="A362" s="89" t="n">
        <x:v>357</x:v>
      </x:c>
      <x:c r="B362" s="89" t="str">
        <x:v>v1-mainnet-0357</x:v>
      </x:c>
      <x:c r="C362" s="90" t="str">
        <x:v>0x65c70c8f2e3c68450163d4d3e5411e7892c669c9</x:v>
      </x:c>
      <x:c r="D362" s="98" t="str"/>
      <x:c r="E362" s="98" t="str">
        <x:v>EOA_CANDIDATE</x:v>
      </x:c>
      <x:c r="F362" s="91" t="b">
        <x:v>0</x:v>
      </x:c>
      <x:c r="G362" s="89" t="n">
        <x:v>0</x:v>
      </x:c>
      <x:c r="H362" s="90" t="str">
        <x:v>5196400000000</x:v>
      </x:c>
      <x:c r="I362" s="92" t="n">
        <x:v>5.1964</x:v>
      </x:c>
      <x:c r="J362" s="92" t="str">
        <x:v>5196400000000000000</x:v>
      </x:c>
      <x:c r="K362" s="92" t="n">
        <x:v>5.1964</x:v>
      </x:c>
      <x:c r="L362" s="98" t="str">
        <x:v>PENDING_OWNER_ELIGIBILITY_APPROVAL</x:v>
      </x:c>
      <x:c r="M362" s="98" t="b">
        <x:f>IF(E362="EOA_CANDIDATE",I362&gt;='Decision Summary'!$B$11,FALSE)</x:f>
        <x:v>0</x:v>
      </x:c>
      <x:c r="N362" s="98" t="str">
        <x:f>IF(M362,"DRAFT INCLUDE","HOLD / EXCLUDE")</x:f>
        <x:v>HOLD / EXCLUDE</x:v>
      </x:c>
      <x:c r="O362" s="101" t="str">
        <x:f>IF(M362,C362,"")</x:f>
      </x:c>
      <x:c r="P362" s="98" t="str">
        <x:f>IF(N362="DRAFT INCLUDE",ROUNDUP(COUNTIF($N$6:N362,"DRAFT INCLUDE")/'Decision Summary'!$B$12,0),"")</x:f>
      </x:c>
      <x:c r="Q362" s="98" t="str">
        <x:f>IF(N362="DRAFT INCLUDE",MOD(COUNTIF($N$6:N362,"DRAFT INCLUDE")-1,'Decision Summary'!$B$12)+1,"")</x:f>
      </x:c>
      <x:c r="R362" s="98" t="str">
        <x:v>PENDING</x:v>
      </x:c>
      <x:c r="S362" s="98" t="str"/>
      <x:c r="T362" s="98" t="str">
        <x:v>Ordinary EOA candidate; inclusion still depends on V1 deprecation, threshold policy and owner approval.</x:v>
      </x:c>
      <x:c r="U362" s="89" t="str">
        <x:v>https://etherscan.io/token/0x445d03f499f1c150615957bb87588fb465fc91cc#balances</x:v>
      </x:c>
      <x:c r="V362" s="89" t="b">
        <x:f>COUNTIF($C$6:$C$502,C362)&gt;1</x:f>
        <x:v>0</x:v>
      </x:c>
    </x:row>
    <x:row r="363">
      <x:c r="A363" s="89" t="n">
        <x:v>358</x:v>
      </x:c>
      <x:c r="B363" s="89" t="str">
        <x:v>v1-mainnet-0358</x:v>
      </x:c>
      <x:c r="C363" s="90" t="str">
        <x:v>0xb547d43fd9ce7fe9ee87f04da3ae587a992319a6</x:v>
      </x:c>
      <x:c r="D363" s="98" t="str"/>
      <x:c r="E363" s="98" t="str">
        <x:v>EOA_CANDIDATE</x:v>
      </x:c>
      <x:c r="F363" s="91" t="b">
        <x:v>0</x:v>
      </x:c>
      <x:c r="G363" s="89" t="n">
        <x:v>0</x:v>
      </x:c>
      <x:c r="H363" s="90" t="str">
        <x:v>5189700000000</x:v>
      </x:c>
      <x:c r="I363" s="92" t="n">
        <x:v>5.1897</x:v>
      </x:c>
      <x:c r="J363" s="92" t="str">
        <x:v>5189700000000000000</x:v>
      </x:c>
      <x:c r="K363" s="92" t="n">
        <x:v>5.1897</x:v>
      </x:c>
      <x:c r="L363" s="98" t="str">
        <x:v>PENDING_OWNER_ELIGIBILITY_APPROVAL</x:v>
      </x:c>
      <x:c r="M363" s="98" t="b">
        <x:f>IF(E363="EOA_CANDIDATE",I363&gt;='Decision Summary'!$B$11,FALSE)</x:f>
        <x:v>0</x:v>
      </x:c>
      <x:c r="N363" s="98" t="str">
        <x:f>IF(M363,"DRAFT INCLUDE","HOLD / EXCLUDE")</x:f>
        <x:v>HOLD / EXCLUDE</x:v>
      </x:c>
      <x:c r="O363" s="101" t="str">
        <x:f>IF(M363,C363,"")</x:f>
      </x:c>
      <x:c r="P363" s="98" t="str">
        <x:f>IF(N363="DRAFT INCLUDE",ROUNDUP(COUNTIF($N$6:N363,"DRAFT INCLUDE")/'Decision Summary'!$B$12,0),"")</x:f>
      </x:c>
      <x:c r="Q363" s="98" t="str">
        <x:f>IF(N363="DRAFT INCLUDE",MOD(COUNTIF($N$6:N363,"DRAFT INCLUDE")-1,'Decision Summary'!$B$12)+1,"")</x:f>
      </x:c>
      <x:c r="R363" s="98" t="str">
        <x:v>PENDING</x:v>
      </x:c>
      <x:c r="S363" s="98" t="str"/>
      <x:c r="T363" s="98" t="str">
        <x:v>Ordinary EOA candidate; inclusion still depends on V1 deprecation, threshold policy and owner approval.</x:v>
      </x:c>
      <x:c r="U363" s="89" t="str">
        <x:v>https://etherscan.io/token/0x445d03f499f1c150615957bb87588fb465fc91cc#balances</x:v>
      </x:c>
      <x:c r="V363" s="89" t="b">
        <x:f>COUNTIF($C$6:$C$502,C363)&gt;1</x:f>
        <x:v>0</x:v>
      </x:c>
    </x:row>
    <x:row r="364">
      <x:c r="A364" s="89" t="n">
        <x:v>359</x:v>
      </x:c>
      <x:c r="B364" s="89" t="str">
        <x:v>v1-mainnet-0359</x:v>
      </x:c>
      <x:c r="C364" s="90" t="str">
        <x:v>0x37bf79ac51e14aaa283563b03f21d5c7baf32610</x:v>
      </x:c>
      <x:c r="D364" s="98" t="str"/>
      <x:c r="E364" s="98" t="str">
        <x:v>EOA_CANDIDATE</x:v>
      </x:c>
      <x:c r="F364" s="91" t="b">
        <x:v>0</x:v>
      </x:c>
      <x:c r="G364" s="89" t="n">
        <x:v>0</x:v>
      </x:c>
      <x:c r="H364" s="90" t="str">
        <x:v>5173100000000</x:v>
      </x:c>
      <x:c r="I364" s="92" t="n">
        <x:v>5.1731</x:v>
      </x:c>
      <x:c r="J364" s="92" t="str">
        <x:v>5173100000000000000</x:v>
      </x:c>
      <x:c r="K364" s="92" t="n">
        <x:v>5.1731</x:v>
      </x:c>
      <x:c r="L364" s="98" t="str">
        <x:v>PENDING_OWNER_ELIGIBILITY_APPROVAL</x:v>
      </x:c>
      <x:c r="M364" s="98" t="b">
        <x:f>IF(E364="EOA_CANDIDATE",I364&gt;='Decision Summary'!$B$11,FALSE)</x:f>
        <x:v>0</x:v>
      </x:c>
      <x:c r="N364" s="98" t="str">
        <x:f>IF(M364,"DRAFT INCLUDE","HOLD / EXCLUDE")</x:f>
        <x:v>HOLD / EXCLUDE</x:v>
      </x:c>
      <x:c r="O364" s="101" t="str">
        <x:f>IF(M364,C364,"")</x:f>
      </x:c>
      <x:c r="P364" s="98" t="str">
        <x:f>IF(N364="DRAFT INCLUDE",ROUNDUP(COUNTIF($N$6:N364,"DRAFT INCLUDE")/'Decision Summary'!$B$12,0),"")</x:f>
      </x:c>
      <x:c r="Q364" s="98" t="str">
        <x:f>IF(N364="DRAFT INCLUDE",MOD(COUNTIF($N$6:N364,"DRAFT INCLUDE")-1,'Decision Summary'!$B$12)+1,"")</x:f>
      </x:c>
      <x:c r="R364" s="98" t="str">
        <x:v>PENDING</x:v>
      </x:c>
      <x:c r="S364" s="98" t="str"/>
      <x:c r="T364" s="98" t="str">
        <x:v>Ordinary EOA candidate; inclusion still depends on V1 deprecation, threshold policy and owner approval.</x:v>
      </x:c>
      <x:c r="U364" s="89" t="str">
        <x:v>https://etherscan.io/token/0x445d03f499f1c150615957bb87588fb465fc91cc#balances</x:v>
      </x:c>
      <x:c r="V364" s="89" t="b">
        <x:f>COUNTIF($C$6:$C$502,C364)&gt;1</x:f>
        <x:v>0</x:v>
      </x:c>
    </x:row>
    <x:row r="365">
      <x:c r="A365" s="89" t="n">
        <x:v>360</x:v>
      </x:c>
      <x:c r="B365" s="89" t="str">
        <x:v>v1-mainnet-0360</x:v>
      </x:c>
      <x:c r="C365" s="90" t="str">
        <x:v>0x3737c215198d8d927c67b78f7e9829b8e68d3b0e</x:v>
      </x:c>
      <x:c r="D365" s="98" t="str"/>
      <x:c r="E365" s="98" t="str">
        <x:v>EOA_CANDIDATE</x:v>
      </x:c>
      <x:c r="F365" s="91" t="b">
        <x:v>0</x:v>
      </x:c>
      <x:c r="G365" s="89" t="n">
        <x:v>0</x:v>
      </x:c>
      <x:c r="H365" s="90" t="str">
        <x:v>5155800000000</x:v>
      </x:c>
      <x:c r="I365" s="92" t="n">
        <x:v>5.1558</x:v>
      </x:c>
      <x:c r="J365" s="92" t="str">
        <x:v>5155800000000000000</x:v>
      </x:c>
      <x:c r="K365" s="92" t="n">
        <x:v>5.1558</x:v>
      </x:c>
      <x:c r="L365" s="98" t="str">
        <x:v>PENDING_OWNER_ELIGIBILITY_APPROVAL</x:v>
      </x:c>
      <x:c r="M365" s="98" t="b">
        <x:f>IF(E365="EOA_CANDIDATE",I365&gt;='Decision Summary'!$B$11,FALSE)</x:f>
        <x:v>0</x:v>
      </x:c>
      <x:c r="N365" s="98" t="str">
        <x:f>IF(M365,"DRAFT INCLUDE","HOLD / EXCLUDE")</x:f>
        <x:v>HOLD / EXCLUDE</x:v>
      </x:c>
      <x:c r="O365" s="101" t="str">
        <x:f>IF(M365,C365,"")</x:f>
      </x:c>
      <x:c r="P365" s="98" t="str">
        <x:f>IF(N365="DRAFT INCLUDE",ROUNDUP(COUNTIF($N$6:N365,"DRAFT INCLUDE")/'Decision Summary'!$B$12,0),"")</x:f>
      </x:c>
      <x:c r="Q365" s="98" t="str">
        <x:f>IF(N365="DRAFT INCLUDE",MOD(COUNTIF($N$6:N365,"DRAFT INCLUDE")-1,'Decision Summary'!$B$12)+1,"")</x:f>
      </x:c>
      <x:c r="R365" s="98" t="str">
        <x:v>PENDING</x:v>
      </x:c>
      <x:c r="S365" s="98" t="str"/>
      <x:c r="T365" s="98" t="str">
        <x:v>Ordinary EOA candidate; inclusion still depends on V1 deprecation, threshold policy and owner approval.</x:v>
      </x:c>
      <x:c r="U365" s="89" t="str">
        <x:v>https://etherscan.io/token/0x445d03f499f1c150615957bb87588fb465fc91cc#balances</x:v>
      </x:c>
      <x:c r="V365" s="89" t="b">
        <x:f>COUNTIF($C$6:$C$502,C365)&gt;1</x:f>
        <x:v>0</x:v>
      </x:c>
    </x:row>
    <x:row r="366">
      <x:c r="A366" s="89" t="n">
        <x:v>361</x:v>
      </x:c>
      <x:c r="B366" s="89" t="str">
        <x:v>v1-mainnet-0361</x:v>
      </x:c>
      <x:c r="C366" s="90" t="str">
        <x:v>0x121f246a5e627e25d0cd900574d5eec392435192</x:v>
      </x:c>
      <x:c r="D366" s="98" t="str"/>
      <x:c r="E366" s="98" t="str">
        <x:v>EOA_CANDIDATE</x:v>
      </x:c>
      <x:c r="F366" s="91" t="b">
        <x:v>0</x:v>
      </x:c>
      <x:c r="G366" s="89" t="n">
        <x:v>0</x:v>
      </x:c>
      <x:c r="H366" s="90" t="str">
        <x:v>5121000000000</x:v>
      </x:c>
      <x:c r="I366" s="92" t="n">
        <x:v>5.121</x:v>
      </x:c>
      <x:c r="J366" s="92" t="str">
        <x:v>5121000000000000000</x:v>
      </x:c>
      <x:c r="K366" s="92" t="n">
        <x:v>5.121</x:v>
      </x:c>
      <x:c r="L366" s="98" t="str">
        <x:v>PENDING_OWNER_ELIGIBILITY_APPROVAL</x:v>
      </x:c>
      <x:c r="M366" s="98" t="b">
        <x:f>IF(E366="EOA_CANDIDATE",I366&gt;='Decision Summary'!$B$11,FALSE)</x:f>
        <x:v>0</x:v>
      </x:c>
      <x:c r="N366" s="98" t="str">
        <x:f>IF(M366,"DRAFT INCLUDE","HOLD / EXCLUDE")</x:f>
        <x:v>HOLD / EXCLUDE</x:v>
      </x:c>
      <x:c r="O366" s="101" t="str">
        <x:f>IF(M366,C366,"")</x:f>
      </x:c>
      <x:c r="P366" s="98" t="str">
        <x:f>IF(N366="DRAFT INCLUDE",ROUNDUP(COUNTIF($N$6:N366,"DRAFT INCLUDE")/'Decision Summary'!$B$12,0),"")</x:f>
      </x:c>
      <x:c r="Q366" s="98" t="str">
        <x:f>IF(N366="DRAFT INCLUDE",MOD(COUNTIF($N$6:N366,"DRAFT INCLUDE")-1,'Decision Summary'!$B$12)+1,"")</x:f>
      </x:c>
      <x:c r="R366" s="98" t="str">
        <x:v>PENDING</x:v>
      </x:c>
      <x:c r="S366" s="98" t="str"/>
      <x:c r="T366" s="98" t="str">
        <x:v>Ordinary EOA candidate; inclusion still depends on V1 deprecation, threshold policy and owner approval.</x:v>
      </x:c>
      <x:c r="U366" s="89" t="str">
        <x:v>https://etherscan.io/token/0x445d03f499f1c150615957bb87588fb465fc91cc#balances</x:v>
      </x:c>
      <x:c r="V366" s="89" t="b">
        <x:f>COUNTIF($C$6:$C$502,C366)&gt;1</x:f>
        <x:v>0</x:v>
      </x:c>
    </x:row>
    <x:row r="367">
      <x:c r="A367" s="89" t="n">
        <x:v>362</x:v>
      </x:c>
      <x:c r="B367" s="89" t="str">
        <x:v>v1-mainnet-0362</x:v>
      </x:c>
      <x:c r="C367" s="90" t="str">
        <x:v>0x23233fa28db9d9186cd5f4a6015686435a602412</x:v>
      </x:c>
      <x:c r="D367" s="98" t="str"/>
      <x:c r="E367" s="98" t="str">
        <x:v>EOA_CANDIDATE</x:v>
      </x:c>
      <x:c r="F367" s="91" t="b">
        <x:v>0</x:v>
      </x:c>
      <x:c r="G367" s="89" t="n">
        <x:v>0</x:v>
      </x:c>
      <x:c r="H367" s="90" t="str">
        <x:v>5105200000000</x:v>
      </x:c>
      <x:c r="I367" s="92" t="n">
        <x:v>5.1052</x:v>
      </x:c>
      <x:c r="J367" s="92" t="str">
        <x:v>5105200000000000000</x:v>
      </x:c>
      <x:c r="K367" s="92" t="n">
        <x:v>5.1052</x:v>
      </x:c>
      <x:c r="L367" s="98" t="str">
        <x:v>PENDING_OWNER_ELIGIBILITY_APPROVAL</x:v>
      </x:c>
      <x:c r="M367" s="98" t="b">
        <x:f>IF(E367="EOA_CANDIDATE",I367&gt;='Decision Summary'!$B$11,FALSE)</x:f>
        <x:v>0</x:v>
      </x:c>
      <x:c r="N367" s="98" t="str">
        <x:f>IF(M367,"DRAFT INCLUDE","HOLD / EXCLUDE")</x:f>
        <x:v>HOLD / EXCLUDE</x:v>
      </x:c>
      <x:c r="O367" s="101" t="str">
        <x:f>IF(M367,C367,"")</x:f>
      </x:c>
      <x:c r="P367" s="98" t="str">
        <x:f>IF(N367="DRAFT INCLUDE",ROUNDUP(COUNTIF($N$6:N367,"DRAFT INCLUDE")/'Decision Summary'!$B$12,0),"")</x:f>
      </x:c>
      <x:c r="Q367" s="98" t="str">
        <x:f>IF(N367="DRAFT INCLUDE",MOD(COUNTIF($N$6:N367,"DRAFT INCLUDE")-1,'Decision Summary'!$B$12)+1,"")</x:f>
      </x:c>
      <x:c r="R367" s="98" t="str">
        <x:v>PENDING</x:v>
      </x:c>
      <x:c r="S367" s="98" t="str"/>
      <x:c r="T367" s="98" t="str">
        <x:v>Ordinary EOA candidate; inclusion still depends on V1 deprecation, threshold policy and owner approval.</x:v>
      </x:c>
      <x:c r="U367" s="89" t="str">
        <x:v>https://etherscan.io/token/0x445d03f499f1c150615957bb87588fb465fc91cc#balances</x:v>
      </x:c>
      <x:c r="V367" s="89" t="b">
        <x:f>COUNTIF($C$6:$C$502,C367)&gt;1</x:f>
        <x:v>0</x:v>
      </x:c>
    </x:row>
    <x:row r="368">
      <x:c r="A368" s="89" t="n">
        <x:v>363</x:v>
      </x:c>
      <x:c r="B368" s="89" t="str">
        <x:v>v1-mainnet-0363</x:v>
      </x:c>
      <x:c r="C368" s="90" t="str">
        <x:v>0x55f26f3929dc8763aabde694fb44f3ded585b7ff</x:v>
      </x:c>
      <x:c r="D368" s="98" t="str"/>
      <x:c r="E368" s="98" t="str">
        <x:v>EOA_CANDIDATE</x:v>
      </x:c>
      <x:c r="F368" s="91" t="b">
        <x:v>0</x:v>
      </x:c>
      <x:c r="G368" s="89" t="n">
        <x:v>0</x:v>
      </x:c>
      <x:c r="H368" s="90" t="str">
        <x:v>5089400000000</x:v>
      </x:c>
      <x:c r="I368" s="92" t="n">
        <x:v>5.0894</x:v>
      </x:c>
      <x:c r="J368" s="92" t="str">
        <x:v>5089400000000000000</x:v>
      </x:c>
      <x:c r="K368" s="92" t="n">
        <x:v>5.0894</x:v>
      </x:c>
      <x:c r="L368" s="98" t="str">
        <x:v>PENDING_OWNER_ELIGIBILITY_APPROVAL</x:v>
      </x:c>
      <x:c r="M368" s="98" t="b">
        <x:f>IF(E368="EOA_CANDIDATE",I368&gt;='Decision Summary'!$B$11,FALSE)</x:f>
        <x:v>0</x:v>
      </x:c>
      <x:c r="N368" s="98" t="str">
        <x:f>IF(M368,"DRAFT INCLUDE","HOLD / EXCLUDE")</x:f>
        <x:v>HOLD / EXCLUDE</x:v>
      </x:c>
      <x:c r="O368" s="101" t="str">
        <x:f>IF(M368,C368,"")</x:f>
      </x:c>
      <x:c r="P368" s="98" t="str">
        <x:f>IF(N368="DRAFT INCLUDE",ROUNDUP(COUNTIF($N$6:N368,"DRAFT INCLUDE")/'Decision Summary'!$B$12,0),"")</x:f>
      </x:c>
      <x:c r="Q368" s="98" t="str">
        <x:f>IF(N368="DRAFT INCLUDE",MOD(COUNTIF($N$6:N368,"DRAFT INCLUDE")-1,'Decision Summary'!$B$12)+1,"")</x:f>
      </x:c>
      <x:c r="R368" s="98" t="str">
        <x:v>PENDING</x:v>
      </x:c>
      <x:c r="S368" s="98" t="str"/>
      <x:c r="T368" s="98" t="str">
        <x:v>Ordinary EOA candidate; inclusion still depends on V1 deprecation, threshold policy and owner approval.</x:v>
      </x:c>
      <x:c r="U368" s="89" t="str">
        <x:v>https://etherscan.io/token/0x445d03f499f1c150615957bb87588fb465fc91cc#balances</x:v>
      </x:c>
      <x:c r="V368" s="89" t="b">
        <x:f>COUNTIF($C$6:$C$502,C368)&gt;1</x:f>
        <x:v>0</x:v>
      </x:c>
    </x:row>
    <x:row r="369">
      <x:c r="A369" s="89" t="n">
        <x:v>364</x:v>
      </x:c>
      <x:c r="B369" s="89" t="str">
        <x:v>v1-mainnet-0364</x:v>
      </x:c>
      <x:c r="C369" s="90" t="str">
        <x:v>0xc5a458789ad713c6037bb13f46b90ff884d2eacd</x:v>
      </x:c>
      <x:c r="D369" s="98" t="str"/>
      <x:c r="E369" s="98" t="str">
        <x:v>EOA_CANDIDATE</x:v>
      </x:c>
      <x:c r="F369" s="91" t="b">
        <x:v>0</x:v>
      </x:c>
      <x:c r="G369" s="89" t="n">
        <x:v>0</x:v>
      </x:c>
      <x:c r="H369" s="90" t="str">
        <x:v>5062000000000</x:v>
      </x:c>
      <x:c r="I369" s="92" t="n">
        <x:v>5.062</x:v>
      </x:c>
      <x:c r="J369" s="92" t="str">
        <x:v>5062000000000000000</x:v>
      </x:c>
      <x:c r="K369" s="92" t="n">
        <x:v>5.062</x:v>
      </x:c>
      <x:c r="L369" s="98" t="str">
        <x:v>PENDING_OWNER_ELIGIBILITY_APPROVAL</x:v>
      </x:c>
      <x:c r="M369" s="98" t="b">
        <x:f>IF(E369="EOA_CANDIDATE",I369&gt;='Decision Summary'!$B$11,FALSE)</x:f>
        <x:v>0</x:v>
      </x:c>
      <x:c r="N369" s="98" t="str">
        <x:f>IF(M369,"DRAFT INCLUDE","HOLD / EXCLUDE")</x:f>
        <x:v>HOLD / EXCLUDE</x:v>
      </x:c>
      <x:c r="O369" s="101" t="str">
        <x:f>IF(M369,C369,"")</x:f>
      </x:c>
      <x:c r="P369" s="98" t="str">
        <x:f>IF(N369="DRAFT INCLUDE",ROUNDUP(COUNTIF($N$6:N369,"DRAFT INCLUDE")/'Decision Summary'!$B$12,0),"")</x:f>
      </x:c>
      <x:c r="Q369" s="98" t="str">
        <x:f>IF(N369="DRAFT INCLUDE",MOD(COUNTIF($N$6:N369,"DRAFT INCLUDE")-1,'Decision Summary'!$B$12)+1,"")</x:f>
      </x:c>
      <x:c r="R369" s="98" t="str">
        <x:v>PENDING</x:v>
      </x:c>
      <x:c r="S369" s="98" t="str"/>
      <x:c r="T369" s="98" t="str">
        <x:v>Ordinary EOA candidate; inclusion still depends on V1 deprecation, threshold policy and owner approval.</x:v>
      </x:c>
      <x:c r="U369" s="89" t="str">
        <x:v>https://etherscan.io/token/0x445d03f499f1c150615957bb87588fb465fc91cc#balances</x:v>
      </x:c>
      <x:c r="V369" s="89" t="b">
        <x:f>COUNTIF($C$6:$C$502,C369)&gt;1</x:f>
        <x:v>0</x:v>
      </x:c>
    </x:row>
    <x:row r="370">
      <x:c r="A370" s="89" t="n">
        <x:v>365</x:v>
      </x:c>
      <x:c r="B370" s="89" t="str">
        <x:v>v1-mainnet-0365</x:v>
      </x:c>
      <x:c r="C370" s="90" t="str">
        <x:v>0x0cf037f4e223846b901178ed12d2eb63bf4fa573</x:v>
      </x:c>
      <x:c r="D370" s="98" t="str"/>
      <x:c r="E370" s="98" t="str">
        <x:v>EOA_CANDIDATE</x:v>
      </x:c>
      <x:c r="F370" s="91" t="b">
        <x:v>0</x:v>
      </x:c>
      <x:c r="G370" s="89" t="n">
        <x:v>0</x:v>
      </x:c>
      <x:c r="H370" s="90" t="str">
        <x:v>5056200000000</x:v>
      </x:c>
      <x:c r="I370" s="92" t="n">
        <x:v>5.0562</x:v>
      </x:c>
      <x:c r="J370" s="92" t="str">
        <x:v>5056200000000000000</x:v>
      </x:c>
      <x:c r="K370" s="92" t="n">
        <x:v>5.0562</x:v>
      </x:c>
      <x:c r="L370" s="98" t="str">
        <x:v>PENDING_OWNER_ELIGIBILITY_APPROVAL</x:v>
      </x:c>
      <x:c r="M370" s="98" t="b">
        <x:f>IF(E370="EOA_CANDIDATE",I370&gt;='Decision Summary'!$B$11,FALSE)</x:f>
        <x:v>0</x:v>
      </x:c>
      <x:c r="N370" s="98" t="str">
        <x:f>IF(M370,"DRAFT INCLUDE","HOLD / EXCLUDE")</x:f>
        <x:v>HOLD / EXCLUDE</x:v>
      </x:c>
      <x:c r="O370" s="101" t="str">
        <x:f>IF(M370,C370,"")</x:f>
      </x:c>
      <x:c r="P370" s="98" t="str">
        <x:f>IF(N370="DRAFT INCLUDE",ROUNDUP(COUNTIF($N$6:N370,"DRAFT INCLUDE")/'Decision Summary'!$B$12,0),"")</x:f>
      </x:c>
      <x:c r="Q370" s="98" t="str">
        <x:f>IF(N370="DRAFT INCLUDE",MOD(COUNTIF($N$6:N370,"DRAFT INCLUDE")-1,'Decision Summary'!$B$12)+1,"")</x:f>
      </x:c>
      <x:c r="R370" s="98" t="str">
        <x:v>PENDING</x:v>
      </x:c>
      <x:c r="S370" s="98" t="str"/>
      <x:c r="T370" s="98" t="str">
        <x:v>Ordinary EOA candidate; inclusion still depends on V1 deprecation, threshold policy and owner approval.</x:v>
      </x:c>
      <x:c r="U370" s="89" t="str">
        <x:v>https://etherscan.io/token/0x445d03f499f1c150615957bb87588fb465fc91cc#balances</x:v>
      </x:c>
      <x:c r="V370" s="89" t="b">
        <x:f>COUNTIF($C$6:$C$502,C370)&gt;1</x:f>
        <x:v>0</x:v>
      </x:c>
    </x:row>
    <x:row r="371">
      <x:c r="A371" s="89" t="n">
        <x:v>366</x:v>
      </x:c>
      <x:c r="B371" s="89" t="str">
        <x:v>v1-mainnet-0366</x:v>
      </x:c>
      <x:c r="C371" s="90" t="str">
        <x:v>0xac021a2cfd22f39e02dc799559184669c8a845ca</x:v>
      </x:c>
      <x:c r="D371" s="98" t="str"/>
      <x:c r="E371" s="98" t="str">
        <x:v>EOA_CANDIDATE</x:v>
      </x:c>
      <x:c r="F371" s="91" t="b">
        <x:v>0</x:v>
      </x:c>
      <x:c r="G371" s="89" t="n">
        <x:v>0</x:v>
      </x:c>
      <x:c r="H371" s="90" t="str">
        <x:v>5052300000000</x:v>
      </x:c>
      <x:c r="I371" s="92" t="n">
        <x:v>5.0523</x:v>
      </x:c>
      <x:c r="J371" s="92" t="str">
        <x:v>5052300000000000000</x:v>
      </x:c>
      <x:c r="K371" s="92" t="n">
        <x:v>5.0523</x:v>
      </x:c>
      <x:c r="L371" s="98" t="str">
        <x:v>PENDING_OWNER_ELIGIBILITY_APPROVAL</x:v>
      </x:c>
      <x:c r="M371" s="98" t="b">
        <x:f>IF(E371="EOA_CANDIDATE",I371&gt;='Decision Summary'!$B$11,FALSE)</x:f>
        <x:v>0</x:v>
      </x:c>
      <x:c r="N371" s="98" t="str">
        <x:f>IF(M371,"DRAFT INCLUDE","HOLD / EXCLUDE")</x:f>
        <x:v>HOLD / EXCLUDE</x:v>
      </x:c>
      <x:c r="O371" s="101" t="str">
        <x:f>IF(M371,C371,"")</x:f>
      </x:c>
      <x:c r="P371" s="98" t="str">
        <x:f>IF(N371="DRAFT INCLUDE",ROUNDUP(COUNTIF($N$6:N371,"DRAFT INCLUDE")/'Decision Summary'!$B$12,0),"")</x:f>
      </x:c>
      <x:c r="Q371" s="98" t="str">
        <x:f>IF(N371="DRAFT INCLUDE",MOD(COUNTIF($N$6:N371,"DRAFT INCLUDE")-1,'Decision Summary'!$B$12)+1,"")</x:f>
      </x:c>
      <x:c r="R371" s="98" t="str">
        <x:v>PENDING</x:v>
      </x:c>
      <x:c r="S371" s="98" t="str"/>
      <x:c r="T371" s="98" t="str">
        <x:v>Ordinary EOA candidate; inclusion still depends on V1 deprecation, threshold policy and owner approval.</x:v>
      </x:c>
      <x:c r="U371" s="89" t="str">
        <x:v>https://etherscan.io/token/0x445d03f499f1c150615957bb87588fb465fc91cc#balances</x:v>
      </x:c>
      <x:c r="V371" s="89" t="b">
        <x:f>COUNTIF($C$6:$C$502,C371)&gt;1</x:f>
        <x:v>0</x:v>
      </x:c>
    </x:row>
    <x:row r="372">
      <x:c r="A372" s="89" t="n">
        <x:v>367</x:v>
      </x:c>
      <x:c r="B372" s="89" t="str">
        <x:v>v1-mainnet-0367</x:v>
      </x:c>
      <x:c r="C372" s="90" t="str">
        <x:v>0x8f543c836bd8db62f3b7cb8c95e4ff3da23982f3</x:v>
      </x:c>
      <x:c r="D372" s="98" t="str"/>
      <x:c r="E372" s="98" t="str">
        <x:v>EOA_CANDIDATE</x:v>
      </x:c>
      <x:c r="F372" s="91" t="b">
        <x:v>0</x:v>
      </x:c>
      <x:c r="G372" s="89" t="n">
        <x:v>0</x:v>
      </x:c>
      <x:c r="H372" s="90" t="str">
        <x:v>5000000000000</x:v>
      </x:c>
      <x:c r="I372" s="92" t="n">
        <x:v>5</x:v>
      </x:c>
      <x:c r="J372" s="92" t="str">
        <x:v>5000000000000000000</x:v>
      </x:c>
      <x:c r="K372" s="92" t="n">
        <x:v>5</x:v>
      </x:c>
      <x:c r="L372" s="98" t="str">
        <x:v>PENDING_OWNER_ELIGIBILITY_APPROVAL</x:v>
      </x:c>
      <x:c r="M372" s="98" t="b">
        <x:f>IF(E372="EOA_CANDIDATE",I372&gt;='Decision Summary'!$B$11,FALSE)</x:f>
        <x:v>0</x:v>
      </x:c>
      <x:c r="N372" s="98" t="str">
        <x:f>IF(M372,"DRAFT INCLUDE","HOLD / EXCLUDE")</x:f>
        <x:v>HOLD / EXCLUDE</x:v>
      </x:c>
      <x:c r="O372" s="101" t="str">
        <x:f>IF(M372,C372,"")</x:f>
      </x:c>
      <x:c r="P372" s="98" t="str">
        <x:f>IF(N372="DRAFT INCLUDE",ROUNDUP(COUNTIF($N$6:N372,"DRAFT INCLUDE")/'Decision Summary'!$B$12,0),"")</x:f>
      </x:c>
      <x:c r="Q372" s="98" t="str">
        <x:f>IF(N372="DRAFT INCLUDE",MOD(COUNTIF($N$6:N372,"DRAFT INCLUDE")-1,'Decision Summary'!$B$12)+1,"")</x:f>
      </x:c>
      <x:c r="R372" s="98" t="str">
        <x:v>PENDING</x:v>
      </x:c>
      <x:c r="S372" s="98" t="str"/>
      <x:c r="T372" s="98" t="str">
        <x:v>Ordinary EOA candidate; inclusion still depends on V1 deprecation, threshold policy and owner approval.</x:v>
      </x:c>
      <x:c r="U372" s="89" t="str">
        <x:v>https://etherscan.io/token/0x445d03f499f1c150615957bb87588fb465fc91cc#balances</x:v>
      </x:c>
      <x:c r="V372" s="89" t="b">
        <x:f>COUNTIF($C$6:$C$502,C372)&gt;1</x:f>
        <x:v>0</x:v>
      </x:c>
    </x:row>
    <x:row r="373">
      <x:c r="A373" s="89" t="n">
        <x:v>368</x:v>
      </x:c>
      <x:c r="B373" s="89" t="str">
        <x:v>v1-mainnet-0368</x:v>
      </x:c>
      <x:c r="C373" s="90" t="str">
        <x:v>0x920ba11a906cc9a13e1c55b84a2ad67788dde13f</x:v>
      </x:c>
      <x:c r="D373" s="98" t="str"/>
      <x:c r="E373" s="98" t="str">
        <x:v>EOA_CANDIDATE</x:v>
      </x:c>
      <x:c r="F373" s="91" t="b">
        <x:v>0</x:v>
      </x:c>
      <x:c r="G373" s="89" t="n">
        <x:v>0</x:v>
      </x:c>
      <x:c r="H373" s="90" t="str">
        <x:v>4984100000000</x:v>
      </x:c>
      <x:c r="I373" s="92" t="n">
        <x:v>4.9841</x:v>
      </x:c>
      <x:c r="J373" s="92" t="str">
        <x:v>4984100000000000000</x:v>
      </x:c>
      <x:c r="K373" s="92" t="n">
        <x:v>4.9841</x:v>
      </x:c>
      <x:c r="L373" s="98" t="str">
        <x:v>PENDING_OWNER_ELIGIBILITY_APPROVAL</x:v>
      </x:c>
      <x:c r="M373" s="98" t="b">
        <x:f>IF(E373="EOA_CANDIDATE",I373&gt;='Decision Summary'!$B$11,FALSE)</x:f>
        <x:v>0</x:v>
      </x:c>
      <x:c r="N373" s="98" t="str">
        <x:f>IF(M373,"DRAFT INCLUDE","HOLD / EXCLUDE")</x:f>
        <x:v>HOLD / EXCLUDE</x:v>
      </x:c>
      <x:c r="O373" s="101" t="str">
        <x:f>IF(M373,C373,"")</x:f>
      </x:c>
      <x:c r="P373" s="98" t="str">
        <x:f>IF(N373="DRAFT INCLUDE",ROUNDUP(COUNTIF($N$6:N373,"DRAFT INCLUDE")/'Decision Summary'!$B$12,0),"")</x:f>
      </x:c>
      <x:c r="Q373" s="98" t="str">
        <x:f>IF(N373="DRAFT INCLUDE",MOD(COUNTIF($N$6:N373,"DRAFT INCLUDE")-1,'Decision Summary'!$B$12)+1,"")</x:f>
      </x:c>
      <x:c r="R373" s="98" t="str">
        <x:v>PENDING</x:v>
      </x:c>
      <x:c r="S373" s="98" t="str"/>
      <x:c r="T373" s="98" t="str">
        <x:v>Ordinary EOA candidate; inclusion still depends on V1 deprecation, threshold policy and owner approval.</x:v>
      </x:c>
      <x:c r="U373" s="89" t="str">
        <x:v>https://etherscan.io/token/0x445d03f499f1c150615957bb87588fb465fc91cc#balances</x:v>
      </x:c>
      <x:c r="V373" s="89" t="b">
        <x:f>COUNTIF($C$6:$C$502,C373)&gt;1</x:f>
        <x:v>0</x:v>
      </x:c>
    </x:row>
    <x:row r="374">
      <x:c r="A374" s="89" t="n">
        <x:v>369</x:v>
      </x:c>
      <x:c r="B374" s="89" t="str">
        <x:v>v1-mainnet-0369</x:v>
      </x:c>
      <x:c r="C374" s="90" t="str">
        <x:v>0x9cd9da1747a25ff3936ff538c9fd0598845cfd2d</x:v>
      </x:c>
      <x:c r="D374" s="98" t="str"/>
      <x:c r="E374" s="98" t="str">
        <x:v>EOA_CANDIDATE</x:v>
      </x:c>
      <x:c r="F374" s="91" t="b">
        <x:v>0</x:v>
      </x:c>
      <x:c r="G374" s="89" t="n">
        <x:v>0</x:v>
      </x:c>
      <x:c r="H374" s="90" t="str">
        <x:v>4975400000000</x:v>
      </x:c>
      <x:c r="I374" s="92" t="n">
        <x:v>4.9754</x:v>
      </x:c>
      <x:c r="J374" s="92" t="str">
        <x:v>4975400000000000000</x:v>
      </x:c>
      <x:c r="K374" s="92" t="n">
        <x:v>4.9754</x:v>
      </x:c>
      <x:c r="L374" s="98" t="str">
        <x:v>PENDING_OWNER_ELIGIBILITY_APPROVAL</x:v>
      </x:c>
      <x:c r="M374" s="98" t="b">
        <x:f>IF(E374="EOA_CANDIDATE",I374&gt;='Decision Summary'!$B$11,FALSE)</x:f>
        <x:v>0</x:v>
      </x:c>
      <x:c r="N374" s="98" t="str">
        <x:f>IF(M374,"DRAFT INCLUDE","HOLD / EXCLUDE")</x:f>
        <x:v>HOLD / EXCLUDE</x:v>
      </x:c>
      <x:c r="O374" s="101" t="str">
        <x:f>IF(M374,C374,"")</x:f>
      </x:c>
      <x:c r="P374" s="98" t="str">
        <x:f>IF(N374="DRAFT INCLUDE",ROUNDUP(COUNTIF($N$6:N374,"DRAFT INCLUDE")/'Decision Summary'!$B$12,0),"")</x:f>
      </x:c>
      <x:c r="Q374" s="98" t="str">
        <x:f>IF(N374="DRAFT INCLUDE",MOD(COUNTIF($N$6:N374,"DRAFT INCLUDE")-1,'Decision Summary'!$B$12)+1,"")</x:f>
      </x:c>
      <x:c r="R374" s="98" t="str">
        <x:v>PENDING</x:v>
      </x:c>
      <x:c r="S374" s="98" t="str"/>
      <x:c r="T374" s="98" t="str">
        <x:v>Ordinary EOA candidate; inclusion still depends on V1 deprecation, threshold policy and owner approval.</x:v>
      </x:c>
      <x:c r="U374" s="89" t="str">
        <x:v>https://etherscan.io/token/0x445d03f499f1c150615957bb87588fb465fc91cc#balances</x:v>
      </x:c>
      <x:c r="V374" s="89" t="b">
        <x:f>COUNTIF($C$6:$C$502,C374)&gt;1</x:f>
        <x:v>0</x:v>
      </x:c>
    </x:row>
    <x:row r="375">
      <x:c r="A375" s="89" t="n">
        <x:v>370</x:v>
      </x:c>
      <x:c r="B375" s="89" t="str">
        <x:v>v1-mainnet-0370</x:v>
      </x:c>
      <x:c r="C375" s="90" t="str">
        <x:v>0xa74f7a5d6e48267d1185c3e20eedec4690f5fa48</x:v>
      </x:c>
      <x:c r="D375" s="98" t="str"/>
      <x:c r="E375" s="98" t="str">
        <x:v>EOA_CANDIDATE</x:v>
      </x:c>
      <x:c r="F375" s="91" t="b">
        <x:v>0</x:v>
      </x:c>
      <x:c r="G375" s="89" t="n">
        <x:v>0</x:v>
      </x:c>
      <x:c r="H375" s="90" t="str">
        <x:v>4961500000000</x:v>
      </x:c>
      <x:c r="I375" s="92" t="n">
        <x:v>4.9615</x:v>
      </x:c>
      <x:c r="J375" s="92" t="str">
        <x:v>4961500000000000000</x:v>
      </x:c>
      <x:c r="K375" s="92" t="n">
        <x:v>4.9615</x:v>
      </x:c>
      <x:c r="L375" s="98" t="str">
        <x:v>PENDING_OWNER_ELIGIBILITY_APPROVAL</x:v>
      </x:c>
      <x:c r="M375" s="98" t="b">
        <x:f>IF(E375="EOA_CANDIDATE",I375&gt;='Decision Summary'!$B$11,FALSE)</x:f>
        <x:v>0</x:v>
      </x:c>
      <x:c r="N375" s="98" t="str">
        <x:f>IF(M375,"DRAFT INCLUDE","HOLD / EXCLUDE")</x:f>
        <x:v>HOLD / EXCLUDE</x:v>
      </x:c>
      <x:c r="O375" s="101" t="str">
        <x:f>IF(M375,C375,"")</x:f>
      </x:c>
      <x:c r="P375" s="98" t="str">
        <x:f>IF(N375="DRAFT INCLUDE",ROUNDUP(COUNTIF($N$6:N375,"DRAFT INCLUDE")/'Decision Summary'!$B$12,0),"")</x:f>
      </x:c>
      <x:c r="Q375" s="98" t="str">
        <x:f>IF(N375="DRAFT INCLUDE",MOD(COUNTIF($N$6:N375,"DRAFT INCLUDE")-1,'Decision Summary'!$B$12)+1,"")</x:f>
      </x:c>
      <x:c r="R375" s="98" t="str">
        <x:v>PENDING</x:v>
      </x:c>
      <x:c r="S375" s="98" t="str"/>
      <x:c r="T375" s="98" t="str">
        <x:v>Ordinary EOA candidate; inclusion still depends on V1 deprecation, threshold policy and owner approval.</x:v>
      </x:c>
      <x:c r="U375" s="89" t="str">
        <x:v>https://etherscan.io/token/0x445d03f499f1c150615957bb87588fb465fc91cc#balances</x:v>
      </x:c>
      <x:c r="V375" s="89" t="b">
        <x:f>COUNTIF($C$6:$C$502,C375)&gt;1</x:f>
        <x:v>0</x:v>
      </x:c>
    </x:row>
    <x:row r="376">
      <x:c r="A376" s="89" t="n">
        <x:v>371</x:v>
      </x:c>
      <x:c r="B376" s="89" t="str">
        <x:v>v1-mainnet-0371</x:v>
      </x:c>
      <x:c r="C376" s="90" t="str">
        <x:v>0xacf5b8972ee8e3237c6fe8f2dcff3dd696bd2d23</x:v>
      </x:c>
      <x:c r="D376" s="98" t="str"/>
      <x:c r="E376" s="98" t="str">
        <x:v>EOA_CANDIDATE</x:v>
      </x:c>
      <x:c r="F376" s="91" t="b">
        <x:v>0</x:v>
      </x:c>
      <x:c r="G376" s="89" t="n">
        <x:v>0</x:v>
      </x:c>
      <x:c r="H376" s="90" t="str">
        <x:v>4867800000000</x:v>
      </x:c>
      <x:c r="I376" s="92" t="n">
        <x:v>4.8678</x:v>
      </x:c>
      <x:c r="J376" s="92" t="str">
        <x:v>4867800000000000000</x:v>
      </x:c>
      <x:c r="K376" s="92" t="n">
        <x:v>4.8678</x:v>
      </x:c>
      <x:c r="L376" s="98" t="str">
        <x:v>PENDING_OWNER_ELIGIBILITY_APPROVAL</x:v>
      </x:c>
      <x:c r="M376" s="98" t="b">
        <x:f>IF(E376="EOA_CANDIDATE",I376&gt;='Decision Summary'!$B$11,FALSE)</x:f>
        <x:v>0</x:v>
      </x:c>
      <x:c r="N376" s="98" t="str">
        <x:f>IF(M376,"DRAFT INCLUDE","HOLD / EXCLUDE")</x:f>
        <x:v>HOLD / EXCLUDE</x:v>
      </x:c>
      <x:c r="O376" s="101" t="str">
        <x:f>IF(M376,C376,"")</x:f>
      </x:c>
      <x:c r="P376" s="98" t="str">
        <x:f>IF(N376="DRAFT INCLUDE",ROUNDUP(COUNTIF($N$6:N376,"DRAFT INCLUDE")/'Decision Summary'!$B$12,0),"")</x:f>
      </x:c>
      <x:c r="Q376" s="98" t="str">
        <x:f>IF(N376="DRAFT INCLUDE",MOD(COUNTIF($N$6:N376,"DRAFT INCLUDE")-1,'Decision Summary'!$B$12)+1,"")</x:f>
      </x:c>
      <x:c r="R376" s="98" t="str">
        <x:v>PENDING</x:v>
      </x:c>
      <x:c r="S376" s="98" t="str"/>
      <x:c r="T376" s="98" t="str">
        <x:v>Ordinary EOA candidate; inclusion still depends on V1 deprecation, threshold policy and owner approval.</x:v>
      </x:c>
      <x:c r="U376" s="89" t="str">
        <x:v>https://etherscan.io/token/0x445d03f499f1c150615957bb87588fb465fc91cc#balances</x:v>
      </x:c>
      <x:c r="V376" s="89" t="b">
        <x:f>COUNTIF($C$6:$C$502,C376)&gt;1</x:f>
        <x:v>0</x:v>
      </x:c>
    </x:row>
    <x:row r="377">
      <x:c r="A377" s="89" t="n">
        <x:v>372</x:v>
      </x:c>
      <x:c r="B377" s="89" t="str">
        <x:v>v1-mainnet-0372</x:v>
      </x:c>
      <x:c r="C377" s="90" t="str">
        <x:v>0x2eaad70f7ab6ca6529a2e8f8de0f1416cd9889ae</x:v>
      </x:c>
      <x:c r="D377" s="98" t="str"/>
      <x:c r="E377" s="98" t="str">
        <x:v>EOA_CANDIDATE</x:v>
      </x:c>
      <x:c r="F377" s="91" t="b">
        <x:v>0</x:v>
      </x:c>
      <x:c r="G377" s="89" t="n">
        <x:v>0</x:v>
      </x:c>
      <x:c r="H377" s="90" t="str">
        <x:v>4861300000000</x:v>
      </x:c>
      <x:c r="I377" s="92" t="n">
        <x:v>4.8613</x:v>
      </x:c>
      <x:c r="J377" s="92" t="str">
        <x:v>4861300000000000000</x:v>
      </x:c>
      <x:c r="K377" s="92" t="n">
        <x:v>4.8613</x:v>
      </x:c>
      <x:c r="L377" s="98" t="str">
        <x:v>PENDING_OWNER_ELIGIBILITY_APPROVAL</x:v>
      </x:c>
      <x:c r="M377" s="98" t="b">
        <x:f>IF(E377="EOA_CANDIDATE",I377&gt;='Decision Summary'!$B$11,FALSE)</x:f>
        <x:v>0</x:v>
      </x:c>
      <x:c r="N377" s="98" t="str">
        <x:f>IF(M377,"DRAFT INCLUDE","HOLD / EXCLUDE")</x:f>
        <x:v>HOLD / EXCLUDE</x:v>
      </x:c>
      <x:c r="O377" s="101" t="str">
        <x:f>IF(M377,C377,"")</x:f>
      </x:c>
      <x:c r="P377" s="98" t="str">
        <x:f>IF(N377="DRAFT INCLUDE",ROUNDUP(COUNTIF($N$6:N377,"DRAFT INCLUDE")/'Decision Summary'!$B$12,0),"")</x:f>
      </x:c>
      <x:c r="Q377" s="98" t="str">
        <x:f>IF(N377="DRAFT INCLUDE",MOD(COUNTIF($N$6:N377,"DRAFT INCLUDE")-1,'Decision Summary'!$B$12)+1,"")</x:f>
      </x:c>
      <x:c r="R377" s="98" t="str">
        <x:v>PENDING</x:v>
      </x:c>
      <x:c r="S377" s="98" t="str"/>
      <x:c r="T377" s="98" t="str">
        <x:v>Ordinary EOA candidate; inclusion still depends on V1 deprecation, threshold policy and owner approval.</x:v>
      </x:c>
      <x:c r="U377" s="89" t="str">
        <x:v>https://etherscan.io/token/0x445d03f499f1c150615957bb87588fb465fc91cc#balances</x:v>
      </x:c>
      <x:c r="V377" s="89" t="b">
        <x:f>COUNTIF($C$6:$C$502,C377)&gt;1</x:f>
        <x:v>0</x:v>
      </x:c>
    </x:row>
    <x:row r="378">
      <x:c r="A378" s="89" t="n">
        <x:v>373</x:v>
      </x:c>
      <x:c r="B378" s="89" t="str">
        <x:v>v1-mainnet-0373</x:v>
      </x:c>
      <x:c r="C378" s="90" t="str">
        <x:v>0x5a4145cc6bdd490f8240437ecdec0999a7264e22</x:v>
      </x:c>
      <x:c r="D378" s="98" t="str"/>
      <x:c r="E378" s="98" t="str">
        <x:v>EOA_CANDIDATE</x:v>
      </x:c>
      <x:c r="F378" s="91" t="b">
        <x:v>0</x:v>
      </x:c>
      <x:c r="G378" s="89" t="n">
        <x:v>0</x:v>
      </x:c>
      <x:c r="H378" s="90" t="str">
        <x:v>4814600000000</x:v>
      </x:c>
      <x:c r="I378" s="92" t="n">
        <x:v>4.8146</x:v>
      </x:c>
      <x:c r="J378" s="92" t="str">
        <x:v>4814600000000000000</x:v>
      </x:c>
      <x:c r="K378" s="92" t="n">
        <x:v>4.8146</x:v>
      </x:c>
      <x:c r="L378" s="98" t="str">
        <x:v>PENDING_OWNER_ELIGIBILITY_APPROVAL</x:v>
      </x:c>
      <x:c r="M378" s="98" t="b">
        <x:f>IF(E378="EOA_CANDIDATE",I378&gt;='Decision Summary'!$B$11,FALSE)</x:f>
        <x:v>0</x:v>
      </x:c>
      <x:c r="N378" s="98" t="str">
        <x:f>IF(M378,"DRAFT INCLUDE","HOLD / EXCLUDE")</x:f>
        <x:v>HOLD / EXCLUDE</x:v>
      </x:c>
      <x:c r="O378" s="101" t="str">
        <x:f>IF(M378,C378,"")</x:f>
      </x:c>
      <x:c r="P378" s="98" t="str">
        <x:f>IF(N378="DRAFT INCLUDE",ROUNDUP(COUNTIF($N$6:N378,"DRAFT INCLUDE")/'Decision Summary'!$B$12,0),"")</x:f>
      </x:c>
      <x:c r="Q378" s="98" t="str">
        <x:f>IF(N378="DRAFT INCLUDE",MOD(COUNTIF($N$6:N378,"DRAFT INCLUDE")-1,'Decision Summary'!$B$12)+1,"")</x:f>
      </x:c>
      <x:c r="R378" s="98" t="str">
        <x:v>PENDING</x:v>
      </x:c>
      <x:c r="S378" s="98" t="str"/>
      <x:c r="T378" s="98" t="str">
        <x:v>Ordinary EOA candidate; inclusion still depends on V1 deprecation, threshold policy and owner approval.</x:v>
      </x:c>
      <x:c r="U378" s="89" t="str">
        <x:v>https://etherscan.io/token/0x445d03f499f1c150615957bb87588fb465fc91cc#balances</x:v>
      </x:c>
      <x:c r="V378" s="89" t="b">
        <x:f>COUNTIF($C$6:$C$502,C378)&gt;1</x:f>
        <x:v>0</x:v>
      </x:c>
    </x:row>
    <x:row r="379">
      <x:c r="A379" s="89" t="n">
        <x:v>374</x:v>
      </x:c>
      <x:c r="B379" s="89" t="str">
        <x:v>v1-mainnet-0374</x:v>
      </x:c>
      <x:c r="C379" s="90" t="str">
        <x:v>0xd8f465b0090d3e39a3a408b3507b1cc2db9c3c12</x:v>
      </x:c>
      <x:c r="D379" s="98" t="str"/>
      <x:c r="E379" s="98" t="str">
        <x:v>EOA_CANDIDATE</x:v>
      </x:c>
      <x:c r="F379" s="91" t="b">
        <x:v>0</x:v>
      </x:c>
      <x:c r="G379" s="89" t="n">
        <x:v>0</x:v>
      </x:c>
      <x:c r="H379" s="90" t="str">
        <x:v>4771300000000</x:v>
      </x:c>
      <x:c r="I379" s="92" t="n">
        <x:v>4.7713</x:v>
      </x:c>
      <x:c r="J379" s="92" t="str">
        <x:v>4771300000000000000</x:v>
      </x:c>
      <x:c r="K379" s="92" t="n">
        <x:v>4.7713</x:v>
      </x:c>
      <x:c r="L379" s="98" t="str">
        <x:v>PENDING_OWNER_ELIGIBILITY_APPROVAL</x:v>
      </x:c>
      <x:c r="M379" s="98" t="b">
        <x:f>IF(E379="EOA_CANDIDATE",I379&gt;='Decision Summary'!$B$11,FALSE)</x:f>
        <x:v>0</x:v>
      </x:c>
      <x:c r="N379" s="98" t="str">
        <x:f>IF(M379,"DRAFT INCLUDE","HOLD / EXCLUDE")</x:f>
        <x:v>HOLD / EXCLUDE</x:v>
      </x:c>
      <x:c r="O379" s="101" t="str">
        <x:f>IF(M379,C379,"")</x:f>
      </x:c>
      <x:c r="P379" s="98" t="str">
        <x:f>IF(N379="DRAFT INCLUDE",ROUNDUP(COUNTIF($N$6:N379,"DRAFT INCLUDE")/'Decision Summary'!$B$12,0),"")</x:f>
      </x:c>
      <x:c r="Q379" s="98" t="str">
        <x:f>IF(N379="DRAFT INCLUDE",MOD(COUNTIF($N$6:N379,"DRAFT INCLUDE")-1,'Decision Summary'!$B$12)+1,"")</x:f>
      </x:c>
      <x:c r="R379" s="98" t="str">
        <x:v>PENDING</x:v>
      </x:c>
      <x:c r="S379" s="98" t="str"/>
      <x:c r="T379" s="98" t="str">
        <x:v>Ordinary EOA candidate; inclusion still depends on V1 deprecation, threshold policy and owner approval.</x:v>
      </x:c>
      <x:c r="U379" s="89" t="str">
        <x:v>https://etherscan.io/token/0x445d03f499f1c150615957bb87588fb465fc91cc#balances</x:v>
      </x:c>
      <x:c r="V379" s="89" t="b">
        <x:f>COUNTIF($C$6:$C$502,C379)&gt;1</x:f>
        <x:v>0</x:v>
      </x:c>
    </x:row>
    <x:row r="380">
      <x:c r="A380" s="89" t="n">
        <x:v>375</x:v>
      </x:c>
      <x:c r="B380" s="89" t="str">
        <x:v>v1-mainnet-0375</x:v>
      </x:c>
      <x:c r="C380" s="90" t="str">
        <x:v>0xeb3031a1355c67d319f6a7b4c9e9bc5d00d026e0</x:v>
      </x:c>
      <x:c r="D380" s="98" t="str"/>
      <x:c r="E380" s="98" t="str">
        <x:v>EOA_CANDIDATE</x:v>
      </x:c>
      <x:c r="F380" s="91" t="b">
        <x:v>0</x:v>
      </x:c>
      <x:c r="G380" s="89" t="n">
        <x:v>0</x:v>
      </x:c>
      <x:c r="H380" s="90" t="str">
        <x:v>4722800000000</x:v>
      </x:c>
      <x:c r="I380" s="92" t="n">
        <x:v>4.7228</x:v>
      </x:c>
      <x:c r="J380" s="92" t="str">
        <x:v>4722800000000000000</x:v>
      </x:c>
      <x:c r="K380" s="92" t="n">
        <x:v>4.7228</x:v>
      </x:c>
      <x:c r="L380" s="98" t="str">
        <x:v>PENDING_OWNER_ELIGIBILITY_APPROVAL</x:v>
      </x:c>
      <x:c r="M380" s="98" t="b">
        <x:f>IF(E380="EOA_CANDIDATE",I380&gt;='Decision Summary'!$B$11,FALSE)</x:f>
        <x:v>0</x:v>
      </x:c>
      <x:c r="N380" s="98" t="str">
        <x:f>IF(M380,"DRAFT INCLUDE","HOLD / EXCLUDE")</x:f>
        <x:v>HOLD / EXCLUDE</x:v>
      </x:c>
      <x:c r="O380" s="101" t="str">
        <x:f>IF(M380,C380,"")</x:f>
      </x:c>
      <x:c r="P380" s="98" t="str">
        <x:f>IF(N380="DRAFT INCLUDE",ROUNDUP(COUNTIF($N$6:N380,"DRAFT INCLUDE")/'Decision Summary'!$B$12,0),"")</x:f>
      </x:c>
      <x:c r="Q380" s="98" t="str">
        <x:f>IF(N380="DRAFT INCLUDE",MOD(COUNTIF($N$6:N380,"DRAFT INCLUDE")-1,'Decision Summary'!$B$12)+1,"")</x:f>
      </x:c>
      <x:c r="R380" s="98" t="str">
        <x:v>PENDING</x:v>
      </x:c>
      <x:c r="S380" s="98" t="str"/>
      <x:c r="T380" s="98" t="str">
        <x:v>Ordinary EOA candidate; inclusion still depends on V1 deprecation, threshold policy and owner approval.</x:v>
      </x:c>
      <x:c r="U380" s="89" t="str">
        <x:v>https://etherscan.io/token/0x445d03f499f1c150615957bb87588fb465fc91cc#balances</x:v>
      </x:c>
      <x:c r="V380" s="89" t="b">
        <x:f>COUNTIF($C$6:$C$502,C380)&gt;1</x:f>
        <x:v>0</x:v>
      </x:c>
    </x:row>
    <x:row r="381">
      <x:c r="A381" s="89" t="n">
        <x:v>376</x:v>
      </x:c>
      <x:c r="B381" s="89" t="str">
        <x:v>v1-mainnet-0376</x:v>
      </x:c>
      <x:c r="C381" s="90" t="str">
        <x:v>0x5d668723b356082e15f7d03d43ef23bca8e70795</x:v>
      </x:c>
      <x:c r="D381" s="98" t="str"/>
      <x:c r="E381" s="98" t="str">
        <x:v>EOA_CANDIDATE</x:v>
      </x:c>
      <x:c r="F381" s="91" t="b">
        <x:v>0</x:v>
      </x:c>
      <x:c r="G381" s="89" t="n">
        <x:v>0</x:v>
      </x:c>
      <x:c r="H381" s="90" t="str">
        <x:v>4704800000000</x:v>
      </x:c>
      <x:c r="I381" s="92" t="n">
        <x:v>4.7048</x:v>
      </x:c>
      <x:c r="J381" s="92" t="str">
        <x:v>4704800000000000000</x:v>
      </x:c>
      <x:c r="K381" s="92" t="n">
        <x:v>4.7048</x:v>
      </x:c>
      <x:c r="L381" s="98" t="str">
        <x:v>PENDING_OWNER_ELIGIBILITY_APPROVAL</x:v>
      </x:c>
      <x:c r="M381" s="98" t="b">
        <x:f>IF(E381="EOA_CANDIDATE",I381&gt;='Decision Summary'!$B$11,FALSE)</x:f>
        <x:v>0</x:v>
      </x:c>
      <x:c r="N381" s="98" t="str">
        <x:f>IF(M381,"DRAFT INCLUDE","HOLD / EXCLUDE")</x:f>
        <x:v>HOLD / EXCLUDE</x:v>
      </x:c>
      <x:c r="O381" s="101" t="str">
        <x:f>IF(M381,C381,"")</x:f>
      </x:c>
      <x:c r="P381" s="98" t="str">
        <x:f>IF(N381="DRAFT INCLUDE",ROUNDUP(COUNTIF($N$6:N381,"DRAFT INCLUDE")/'Decision Summary'!$B$12,0),"")</x:f>
      </x:c>
      <x:c r="Q381" s="98" t="str">
        <x:f>IF(N381="DRAFT INCLUDE",MOD(COUNTIF($N$6:N381,"DRAFT INCLUDE")-1,'Decision Summary'!$B$12)+1,"")</x:f>
      </x:c>
      <x:c r="R381" s="98" t="str">
        <x:v>PENDING</x:v>
      </x:c>
      <x:c r="S381" s="98" t="str"/>
      <x:c r="T381" s="98" t="str">
        <x:v>Ordinary EOA candidate; inclusion still depends on V1 deprecation, threshold policy and owner approval.</x:v>
      </x:c>
      <x:c r="U381" s="89" t="str">
        <x:v>https://etherscan.io/token/0x445d03f499f1c150615957bb87588fb465fc91cc#balances</x:v>
      </x:c>
      <x:c r="V381" s="89" t="b">
        <x:f>COUNTIF($C$6:$C$502,C381)&gt;1</x:f>
        <x:v>0</x:v>
      </x:c>
    </x:row>
    <x:row r="382">
      <x:c r="A382" s="89" t="n">
        <x:v>377</x:v>
      </x:c>
      <x:c r="B382" s="89" t="str">
        <x:v>v1-mainnet-0377</x:v>
      </x:c>
      <x:c r="C382" s="90" t="str">
        <x:v>0xb4e81dddf9aba316827860b49855e4e5899fa7f5</x:v>
      </x:c>
      <x:c r="D382" s="98" t="str"/>
      <x:c r="E382" s="98" t="str">
        <x:v>EOA_CANDIDATE</x:v>
      </x:c>
      <x:c r="F382" s="91" t="b">
        <x:v>0</x:v>
      </x:c>
      <x:c r="G382" s="89" t="n">
        <x:v>0</x:v>
      </x:c>
      <x:c r="H382" s="90" t="str">
        <x:v>4684300000000</x:v>
      </x:c>
      <x:c r="I382" s="92" t="n">
        <x:v>4.6843</x:v>
      </x:c>
      <x:c r="J382" s="92" t="str">
        <x:v>4684300000000000000</x:v>
      </x:c>
      <x:c r="K382" s="92" t="n">
        <x:v>4.6843</x:v>
      </x:c>
      <x:c r="L382" s="98" t="str">
        <x:v>PENDING_OWNER_ELIGIBILITY_APPROVAL</x:v>
      </x:c>
      <x:c r="M382" s="98" t="b">
        <x:f>IF(E382="EOA_CANDIDATE",I382&gt;='Decision Summary'!$B$11,FALSE)</x:f>
        <x:v>0</x:v>
      </x:c>
      <x:c r="N382" s="98" t="str">
        <x:f>IF(M382,"DRAFT INCLUDE","HOLD / EXCLUDE")</x:f>
        <x:v>HOLD / EXCLUDE</x:v>
      </x:c>
      <x:c r="O382" s="101" t="str">
        <x:f>IF(M382,C382,"")</x:f>
      </x:c>
      <x:c r="P382" s="98" t="str">
        <x:f>IF(N382="DRAFT INCLUDE",ROUNDUP(COUNTIF($N$6:N382,"DRAFT INCLUDE")/'Decision Summary'!$B$12,0),"")</x:f>
      </x:c>
      <x:c r="Q382" s="98" t="str">
        <x:f>IF(N382="DRAFT INCLUDE",MOD(COUNTIF($N$6:N382,"DRAFT INCLUDE")-1,'Decision Summary'!$B$12)+1,"")</x:f>
      </x:c>
      <x:c r="R382" s="98" t="str">
        <x:v>PENDING</x:v>
      </x:c>
      <x:c r="S382" s="98" t="str"/>
      <x:c r="T382" s="98" t="str">
        <x:v>Ordinary EOA candidate; inclusion still depends on V1 deprecation, threshold policy and owner approval.</x:v>
      </x:c>
      <x:c r="U382" s="89" t="str">
        <x:v>https://etherscan.io/token/0x445d03f499f1c150615957bb87588fb465fc91cc#balances</x:v>
      </x:c>
      <x:c r="V382" s="89" t="b">
        <x:f>COUNTIF($C$6:$C$502,C382)&gt;1</x:f>
        <x:v>0</x:v>
      </x:c>
    </x:row>
    <x:row r="383">
      <x:c r="A383" s="89" t="n">
        <x:v>378</x:v>
      </x:c>
      <x:c r="B383" s="89" t="str">
        <x:v>v1-mainnet-0378</x:v>
      </x:c>
      <x:c r="C383" s="90" t="str">
        <x:v>0x9125f38d09f5a05bdbd3985c26ae13ff5a709653</x:v>
      </x:c>
      <x:c r="D383" s="98" t="str"/>
      <x:c r="E383" s="98" t="str">
        <x:v>EOA_CANDIDATE</x:v>
      </x:c>
      <x:c r="F383" s="91" t="b">
        <x:v>0</x:v>
      </x:c>
      <x:c r="G383" s="89" t="n">
        <x:v>0</x:v>
      </x:c>
      <x:c r="H383" s="90" t="str">
        <x:v>4674200000000</x:v>
      </x:c>
      <x:c r="I383" s="92" t="n">
        <x:v>4.6742</x:v>
      </x:c>
      <x:c r="J383" s="92" t="str">
        <x:v>4674200000000000000</x:v>
      </x:c>
      <x:c r="K383" s="92" t="n">
        <x:v>4.6742</x:v>
      </x:c>
      <x:c r="L383" s="98" t="str">
        <x:v>PENDING_OWNER_ELIGIBILITY_APPROVAL</x:v>
      </x:c>
      <x:c r="M383" s="98" t="b">
        <x:f>IF(E383="EOA_CANDIDATE",I383&gt;='Decision Summary'!$B$11,FALSE)</x:f>
        <x:v>0</x:v>
      </x:c>
      <x:c r="N383" s="98" t="str">
        <x:f>IF(M383,"DRAFT INCLUDE","HOLD / EXCLUDE")</x:f>
        <x:v>HOLD / EXCLUDE</x:v>
      </x:c>
      <x:c r="O383" s="101" t="str">
        <x:f>IF(M383,C383,"")</x:f>
      </x:c>
      <x:c r="P383" s="98" t="str">
        <x:f>IF(N383="DRAFT INCLUDE",ROUNDUP(COUNTIF($N$6:N383,"DRAFT INCLUDE")/'Decision Summary'!$B$12,0),"")</x:f>
      </x:c>
      <x:c r="Q383" s="98" t="str">
        <x:f>IF(N383="DRAFT INCLUDE",MOD(COUNTIF($N$6:N383,"DRAFT INCLUDE")-1,'Decision Summary'!$B$12)+1,"")</x:f>
      </x:c>
      <x:c r="R383" s="98" t="str">
        <x:v>PENDING</x:v>
      </x:c>
      <x:c r="S383" s="98" t="str"/>
      <x:c r="T383" s="98" t="str">
        <x:v>Ordinary EOA candidate; inclusion still depends on V1 deprecation, threshold policy and owner approval.</x:v>
      </x:c>
      <x:c r="U383" s="89" t="str">
        <x:v>https://etherscan.io/token/0x445d03f499f1c150615957bb87588fb465fc91cc#balances</x:v>
      </x:c>
      <x:c r="V383" s="89" t="b">
        <x:f>COUNTIF($C$6:$C$502,C383)&gt;1</x:f>
        <x:v>0</x:v>
      </x:c>
    </x:row>
    <x:row r="384">
      <x:c r="A384" s="89" t="n">
        <x:v>379</x:v>
      </x:c>
      <x:c r="B384" s="89" t="str">
        <x:v>v1-mainnet-0379</x:v>
      </x:c>
      <x:c r="C384" s="90" t="str">
        <x:v>0x67053f923d2eb0d9a1a2f5cb1792dcb9f6341d47</x:v>
      </x:c>
      <x:c r="D384" s="98" t="str"/>
      <x:c r="E384" s="98" t="str">
        <x:v>EOA_CANDIDATE</x:v>
      </x:c>
      <x:c r="F384" s="91" t="b">
        <x:v>0</x:v>
      </x:c>
      <x:c r="G384" s="89" t="n">
        <x:v>0</x:v>
      </x:c>
      <x:c r="H384" s="90" t="str">
        <x:v>4655100000000</x:v>
      </x:c>
      <x:c r="I384" s="92" t="n">
        <x:v>4.6551</x:v>
      </x:c>
      <x:c r="J384" s="92" t="str">
        <x:v>4655100000000000000</x:v>
      </x:c>
      <x:c r="K384" s="92" t="n">
        <x:v>4.6551</x:v>
      </x:c>
      <x:c r="L384" s="98" t="str">
        <x:v>PENDING_OWNER_ELIGIBILITY_APPROVAL</x:v>
      </x:c>
      <x:c r="M384" s="98" t="b">
        <x:f>IF(E384="EOA_CANDIDATE",I384&gt;='Decision Summary'!$B$11,FALSE)</x:f>
        <x:v>0</x:v>
      </x:c>
      <x:c r="N384" s="98" t="str">
        <x:f>IF(M384,"DRAFT INCLUDE","HOLD / EXCLUDE")</x:f>
        <x:v>HOLD / EXCLUDE</x:v>
      </x:c>
      <x:c r="O384" s="101" t="str">
        <x:f>IF(M384,C384,"")</x:f>
      </x:c>
      <x:c r="P384" s="98" t="str">
        <x:f>IF(N384="DRAFT INCLUDE",ROUNDUP(COUNTIF($N$6:N384,"DRAFT INCLUDE")/'Decision Summary'!$B$12,0),"")</x:f>
      </x:c>
      <x:c r="Q384" s="98" t="str">
        <x:f>IF(N384="DRAFT INCLUDE",MOD(COUNTIF($N$6:N384,"DRAFT INCLUDE")-1,'Decision Summary'!$B$12)+1,"")</x:f>
      </x:c>
      <x:c r="R384" s="98" t="str">
        <x:v>PENDING</x:v>
      </x:c>
      <x:c r="S384" s="98" t="str"/>
      <x:c r="T384" s="98" t="str">
        <x:v>Ordinary EOA candidate; inclusion still depends on V1 deprecation, threshold policy and owner approval.</x:v>
      </x:c>
      <x:c r="U384" s="89" t="str">
        <x:v>https://etherscan.io/token/0x445d03f499f1c150615957bb87588fb465fc91cc#balances</x:v>
      </x:c>
      <x:c r="V384" s="89" t="b">
        <x:f>COUNTIF($C$6:$C$502,C384)&gt;1</x:f>
        <x:v>0</x:v>
      </x:c>
    </x:row>
    <x:row r="385">
      <x:c r="A385" s="89" t="n">
        <x:v>380</x:v>
      </x:c>
      <x:c r="B385" s="89" t="str">
        <x:v>v1-mainnet-0380</x:v>
      </x:c>
      <x:c r="C385" s="90" t="str">
        <x:v>0x64d0ce00f26921178f9f4e9cd7d725e28264321e</x:v>
      </x:c>
      <x:c r="D385" s="98" t="str"/>
      <x:c r="E385" s="98" t="str">
        <x:v>EOA_CANDIDATE</x:v>
      </x:c>
      <x:c r="F385" s="91" t="b">
        <x:v>0</x:v>
      </x:c>
      <x:c r="G385" s="89" t="n">
        <x:v>0</x:v>
      </x:c>
      <x:c r="H385" s="90" t="str">
        <x:v>4644200000000</x:v>
      </x:c>
      <x:c r="I385" s="92" t="n">
        <x:v>4.6442</x:v>
      </x:c>
      <x:c r="J385" s="92" t="str">
        <x:v>4644200000000000000</x:v>
      </x:c>
      <x:c r="K385" s="92" t="n">
        <x:v>4.6442</x:v>
      </x:c>
      <x:c r="L385" s="98" t="str">
        <x:v>PENDING_OWNER_ELIGIBILITY_APPROVAL</x:v>
      </x:c>
      <x:c r="M385" s="98" t="b">
        <x:f>IF(E385="EOA_CANDIDATE",I385&gt;='Decision Summary'!$B$11,FALSE)</x:f>
        <x:v>0</x:v>
      </x:c>
      <x:c r="N385" s="98" t="str">
        <x:f>IF(M385,"DRAFT INCLUDE","HOLD / EXCLUDE")</x:f>
        <x:v>HOLD / EXCLUDE</x:v>
      </x:c>
      <x:c r="O385" s="101" t="str">
        <x:f>IF(M385,C385,"")</x:f>
      </x:c>
      <x:c r="P385" s="98" t="str">
        <x:f>IF(N385="DRAFT INCLUDE",ROUNDUP(COUNTIF($N$6:N385,"DRAFT INCLUDE")/'Decision Summary'!$B$12,0),"")</x:f>
      </x:c>
      <x:c r="Q385" s="98" t="str">
        <x:f>IF(N385="DRAFT INCLUDE",MOD(COUNTIF($N$6:N385,"DRAFT INCLUDE")-1,'Decision Summary'!$B$12)+1,"")</x:f>
      </x:c>
      <x:c r="R385" s="98" t="str">
        <x:v>PENDING</x:v>
      </x:c>
      <x:c r="S385" s="98" t="str"/>
      <x:c r="T385" s="98" t="str">
        <x:v>Ordinary EOA candidate; inclusion still depends on V1 deprecation, threshold policy and owner approval.</x:v>
      </x:c>
      <x:c r="U385" s="89" t="str">
        <x:v>https://etherscan.io/token/0x445d03f499f1c150615957bb87588fb465fc91cc#balances</x:v>
      </x:c>
      <x:c r="V385" s="89" t="b">
        <x:f>COUNTIF($C$6:$C$502,C385)&gt;1</x:f>
        <x:v>0</x:v>
      </x:c>
    </x:row>
    <x:row r="386">
      <x:c r="A386" s="89" t="n">
        <x:v>381</x:v>
      </x:c>
      <x:c r="B386" s="89" t="str">
        <x:v>v1-mainnet-0381</x:v>
      </x:c>
      <x:c r="C386" s="90" t="str">
        <x:v>0xbe5e76e454b358e7b923ef772120e386254da23e</x:v>
      </x:c>
      <x:c r="D386" s="98" t="str"/>
      <x:c r="E386" s="98" t="str">
        <x:v>EOA_CANDIDATE</x:v>
      </x:c>
      <x:c r="F386" s="91" t="b">
        <x:v>0</x:v>
      </x:c>
      <x:c r="G386" s="89" t="n">
        <x:v>0</x:v>
      </x:c>
      <x:c r="H386" s="90" t="str">
        <x:v>4639500000000</x:v>
      </x:c>
      <x:c r="I386" s="92" t="n">
        <x:v>4.6395</x:v>
      </x:c>
      <x:c r="J386" s="92" t="str">
        <x:v>4639500000000000000</x:v>
      </x:c>
      <x:c r="K386" s="92" t="n">
        <x:v>4.6395</x:v>
      </x:c>
      <x:c r="L386" s="98" t="str">
        <x:v>PENDING_OWNER_ELIGIBILITY_APPROVAL</x:v>
      </x:c>
      <x:c r="M386" s="98" t="b">
        <x:f>IF(E386="EOA_CANDIDATE",I386&gt;='Decision Summary'!$B$11,FALSE)</x:f>
        <x:v>0</x:v>
      </x:c>
      <x:c r="N386" s="98" t="str">
        <x:f>IF(M386,"DRAFT INCLUDE","HOLD / EXCLUDE")</x:f>
        <x:v>HOLD / EXCLUDE</x:v>
      </x:c>
      <x:c r="O386" s="101" t="str">
        <x:f>IF(M386,C386,"")</x:f>
      </x:c>
      <x:c r="P386" s="98" t="str">
        <x:f>IF(N386="DRAFT INCLUDE",ROUNDUP(COUNTIF($N$6:N386,"DRAFT INCLUDE")/'Decision Summary'!$B$12,0),"")</x:f>
      </x:c>
      <x:c r="Q386" s="98" t="str">
        <x:f>IF(N386="DRAFT INCLUDE",MOD(COUNTIF($N$6:N386,"DRAFT INCLUDE")-1,'Decision Summary'!$B$12)+1,"")</x:f>
      </x:c>
      <x:c r="R386" s="98" t="str">
        <x:v>PENDING</x:v>
      </x:c>
      <x:c r="S386" s="98" t="str"/>
      <x:c r="T386" s="98" t="str">
        <x:v>Ordinary EOA candidate; inclusion still depends on V1 deprecation, threshold policy and owner approval.</x:v>
      </x:c>
      <x:c r="U386" s="89" t="str">
        <x:v>https://etherscan.io/token/0x445d03f499f1c150615957bb87588fb465fc91cc#balances</x:v>
      </x:c>
      <x:c r="V386" s="89" t="b">
        <x:f>COUNTIF($C$6:$C$502,C386)&gt;1</x:f>
        <x:v>0</x:v>
      </x:c>
    </x:row>
    <x:row r="387">
      <x:c r="A387" s="89" t="n">
        <x:v>382</x:v>
      </x:c>
      <x:c r="B387" s="89" t="str">
        <x:v>v1-mainnet-0382</x:v>
      </x:c>
      <x:c r="C387" s="90" t="str">
        <x:v>0x89e0bf543d07d5e963bd3dd427062fb24e27f98f</x:v>
      </x:c>
      <x:c r="D387" s="98" t="str"/>
      <x:c r="E387" s="98" t="str">
        <x:v>EOA_CANDIDATE</x:v>
      </x:c>
      <x:c r="F387" s="91" t="b">
        <x:v>0</x:v>
      </x:c>
      <x:c r="G387" s="89" t="n">
        <x:v>0</x:v>
      </x:c>
      <x:c r="H387" s="90" t="str">
        <x:v>4624500000000</x:v>
      </x:c>
      <x:c r="I387" s="92" t="n">
        <x:v>4.6245</x:v>
      </x:c>
      <x:c r="J387" s="92" t="str">
        <x:v>4624500000000000000</x:v>
      </x:c>
      <x:c r="K387" s="92" t="n">
        <x:v>4.6245</x:v>
      </x:c>
      <x:c r="L387" s="98" t="str">
        <x:v>PENDING_OWNER_ELIGIBILITY_APPROVAL</x:v>
      </x:c>
      <x:c r="M387" s="98" t="b">
        <x:f>IF(E387="EOA_CANDIDATE",I387&gt;='Decision Summary'!$B$11,FALSE)</x:f>
        <x:v>0</x:v>
      </x:c>
      <x:c r="N387" s="98" t="str">
        <x:f>IF(M387,"DRAFT INCLUDE","HOLD / EXCLUDE")</x:f>
        <x:v>HOLD / EXCLUDE</x:v>
      </x:c>
      <x:c r="O387" s="101" t="str">
        <x:f>IF(M387,C387,"")</x:f>
      </x:c>
      <x:c r="P387" s="98" t="str">
        <x:f>IF(N387="DRAFT INCLUDE",ROUNDUP(COUNTIF($N$6:N387,"DRAFT INCLUDE")/'Decision Summary'!$B$12,0),"")</x:f>
      </x:c>
      <x:c r="Q387" s="98" t="str">
        <x:f>IF(N387="DRAFT INCLUDE",MOD(COUNTIF($N$6:N387,"DRAFT INCLUDE")-1,'Decision Summary'!$B$12)+1,"")</x:f>
      </x:c>
      <x:c r="R387" s="98" t="str">
        <x:v>PENDING</x:v>
      </x:c>
      <x:c r="S387" s="98" t="str"/>
      <x:c r="T387" s="98" t="str">
        <x:v>Ordinary EOA candidate; inclusion still depends on V1 deprecation, threshold policy and owner approval.</x:v>
      </x:c>
      <x:c r="U387" s="89" t="str">
        <x:v>https://etherscan.io/token/0x445d03f499f1c150615957bb87588fb465fc91cc#balances</x:v>
      </x:c>
      <x:c r="V387" s="89" t="b">
        <x:f>COUNTIF($C$6:$C$502,C387)&gt;1</x:f>
        <x:v>0</x:v>
      </x:c>
    </x:row>
    <x:row r="388">
      <x:c r="A388" s="89" t="n">
        <x:v>383</x:v>
      </x:c>
      <x:c r="B388" s="89" t="str">
        <x:v>v1-mainnet-0383</x:v>
      </x:c>
      <x:c r="C388" s="90" t="str">
        <x:v>0xf237b2e024f7f3d8aefa7e86217d17be41b07a46</x:v>
      </x:c>
      <x:c r="D388" s="98" t="str"/>
      <x:c r="E388" s="98" t="str">
        <x:v>EOA_CANDIDATE</x:v>
      </x:c>
      <x:c r="F388" s="91" t="b">
        <x:v>0</x:v>
      </x:c>
      <x:c r="G388" s="89" t="n">
        <x:v>0</x:v>
      </x:c>
      <x:c r="H388" s="90" t="str">
        <x:v>4617300000000</x:v>
      </x:c>
      <x:c r="I388" s="92" t="n">
        <x:v>4.6173</x:v>
      </x:c>
      <x:c r="J388" s="92" t="str">
        <x:v>4617300000000000000</x:v>
      </x:c>
      <x:c r="K388" s="92" t="n">
        <x:v>4.6173</x:v>
      </x:c>
      <x:c r="L388" s="98" t="str">
        <x:v>PENDING_OWNER_ELIGIBILITY_APPROVAL</x:v>
      </x:c>
      <x:c r="M388" s="98" t="b">
        <x:f>IF(E388="EOA_CANDIDATE",I388&gt;='Decision Summary'!$B$11,FALSE)</x:f>
        <x:v>0</x:v>
      </x:c>
      <x:c r="N388" s="98" t="str">
        <x:f>IF(M388,"DRAFT INCLUDE","HOLD / EXCLUDE")</x:f>
        <x:v>HOLD / EXCLUDE</x:v>
      </x:c>
      <x:c r="O388" s="101" t="str">
        <x:f>IF(M388,C388,"")</x:f>
      </x:c>
      <x:c r="P388" s="98" t="str">
        <x:f>IF(N388="DRAFT INCLUDE",ROUNDUP(COUNTIF($N$6:N388,"DRAFT INCLUDE")/'Decision Summary'!$B$12,0),"")</x:f>
      </x:c>
      <x:c r="Q388" s="98" t="str">
        <x:f>IF(N388="DRAFT INCLUDE",MOD(COUNTIF($N$6:N388,"DRAFT INCLUDE")-1,'Decision Summary'!$B$12)+1,"")</x:f>
      </x:c>
      <x:c r="R388" s="98" t="str">
        <x:v>PENDING</x:v>
      </x:c>
      <x:c r="S388" s="98" t="str"/>
      <x:c r="T388" s="98" t="str">
        <x:v>Ordinary EOA candidate; inclusion still depends on V1 deprecation, threshold policy and owner approval.</x:v>
      </x:c>
      <x:c r="U388" s="89" t="str">
        <x:v>https://etherscan.io/token/0x445d03f499f1c150615957bb87588fb465fc91cc#balances</x:v>
      </x:c>
      <x:c r="V388" s="89" t="b">
        <x:f>COUNTIF($C$6:$C$502,C388)&gt;1</x:f>
        <x:v>0</x:v>
      </x:c>
    </x:row>
    <x:row r="389">
      <x:c r="A389" s="89" t="n">
        <x:v>384</x:v>
      </x:c>
      <x:c r="B389" s="89" t="str">
        <x:v>v1-mainnet-0384</x:v>
      </x:c>
      <x:c r="C389" s="90" t="str">
        <x:v>0x71eab142a8fa43838d5742118add01aa80b5b02d</x:v>
      </x:c>
      <x:c r="D389" s="98" t="str"/>
      <x:c r="E389" s="98" t="str">
        <x:v>EOA_CANDIDATE</x:v>
      </x:c>
      <x:c r="F389" s="91" t="b">
        <x:v>0</x:v>
      </x:c>
      <x:c r="G389" s="89" t="n">
        <x:v>0</x:v>
      </x:c>
      <x:c r="H389" s="90" t="str">
        <x:v>4614500000000</x:v>
      </x:c>
      <x:c r="I389" s="92" t="n">
        <x:v>4.6145</x:v>
      </x:c>
      <x:c r="J389" s="92" t="str">
        <x:v>4614500000000000000</x:v>
      </x:c>
      <x:c r="K389" s="92" t="n">
        <x:v>4.6145</x:v>
      </x:c>
      <x:c r="L389" s="98" t="str">
        <x:v>PENDING_OWNER_ELIGIBILITY_APPROVAL</x:v>
      </x:c>
      <x:c r="M389" s="98" t="b">
        <x:f>IF(E389="EOA_CANDIDATE",I389&gt;='Decision Summary'!$B$11,FALSE)</x:f>
        <x:v>0</x:v>
      </x:c>
      <x:c r="N389" s="98" t="str">
        <x:f>IF(M389,"DRAFT INCLUDE","HOLD / EXCLUDE")</x:f>
        <x:v>HOLD / EXCLUDE</x:v>
      </x:c>
      <x:c r="O389" s="101" t="str">
        <x:f>IF(M389,C389,"")</x:f>
      </x:c>
      <x:c r="P389" s="98" t="str">
        <x:f>IF(N389="DRAFT INCLUDE",ROUNDUP(COUNTIF($N$6:N389,"DRAFT INCLUDE")/'Decision Summary'!$B$12,0),"")</x:f>
      </x:c>
      <x:c r="Q389" s="98" t="str">
        <x:f>IF(N389="DRAFT INCLUDE",MOD(COUNTIF($N$6:N389,"DRAFT INCLUDE")-1,'Decision Summary'!$B$12)+1,"")</x:f>
      </x:c>
      <x:c r="R389" s="98" t="str">
        <x:v>PENDING</x:v>
      </x:c>
      <x:c r="S389" s="98" t="str"/>
      <x:c r="T389" s="98" t="str">
        <x:v>Ordinary EOA candidate; inclusion still depends on V1 deprecation, threshold policy and owner approval.</x:v>
      </x:c>
      <x:c r="U389" s="89" t="str">
        <x:v>https://etherscan.io/token/0x445d03f499f1c150615957bb87588fb465fc91cc#balances</x:v>
      </x:c>
      <x:c r="V389" s="89" t="b">
        <x:f>COUNTIF($C$6:$C$502,C389)&gt;1</x:f>
        <x:v>0</x:v>
      </x:c>
    </x:row>
    <x:row r="390">
      <x:c r="A390" s="89" t="n">
        <x:v>385</x:v>
      </x:c>
      <x:c r="B390" s="89" t="str">
        <x:v>v1-mainnet-0385</x:v>
      </x:c>
      <x:c r="C390" s="90" t="str">
        <x:v>0xdaf81229aada65ece727c8081063334d74f8a8df</x:v>
      </x:c>
      <x:c r="D390" s="98" t="str"/>
      <x:c r="E390" s="98" t="str">
        <x:v>EOA_CANDIDATE</x:v>
      </x:c>
      <x:c r="F390" s="91" t="b">
        <x:v>0</x:v>
      </x:c>
      <x:c r="G390" s="89" t="n">
        <x:v>0</x:v>
      </x:c>
      <x:c r="H390" s="90" t="str">
        <x:v>4609900000000</x:v>
      </x:c>
      <x:c r="I390" s="92" t="n">
        <x:v>4.6099</x:v>
      </x:c>
      <x:c r="J390" s="92" t="str">
        <x:v>4609900000000000000</x:v>
      </x:c>
      <x:c r="K390" s="92" t="n">
        <x:v>4.6099</x:v>
      </x:c>
      <x:c r="L390" s="98" t="str">
        <x:v>PENDING_OWNER_ELIGIBILITY_APPROVAL</x:v>
      </x:c>
      <x:c r="M390" s="98" t="b">
        <x:f>IF(E390="EOA_CANDIDATE",I390&gt;='Decision Summary'!$B$11,FALSE)</x:f>
        <x:v>0</x:v>
      </x:c>
      <x:c r="N390" s="98" t="str">
        <x:f>IF(M390,"DRAFT INCLUDE","HOLD / EXCLUDE")</x:f>
        <x:v>HOLD / EXCLUDE</x:v>
      </x:c>
      <x:c r="O390" s="101" t="str">
        <x:f>IF(M390,C390,"")</x:f>
      </x:c>
      <x:c r="P390" s="98" t="str">
        <x:f>IF(N390="DRAFT INCLUDE",ROUNDUP(COUNTIF($N$6:N390,"DRAFT INCLUDE")/'Decision Summary'!$B$12,0),"")</x:f>
      </x:c>
      <x:c r="Q390" s="98" t="str">
        <x:f>IF(N390="DRAFT INCLUDE",MOD(COUNTIF($N$6:N390,"DRAFT INCLUDE")-1,'Decision Summary'!$B$12)+1,"")</x:f>
      </x:c>
      <x:c r="R390" s="98" t="str">
        <x:v>PENDING</x:v>
      </x:c>
      <x:c r="S390" s="98" t="str"/>
      <x:c r="T390" s="98" t="str">
        <x:v>Ordinary EOA candidate; inclusion still depends on V1 deprecation, threshold policy and owner approval.</x:v>
      </x:c>
      <x:c r="U390" s="89" t="str">
        <x:v>https://etherscan.io/token/0x445d03f499f1c150615957bb87588fb465fc91cc#balances</x:v>
      </x:c>
      <x:c r="V390" s="89" t="b">
        <x:f>COUNTIF($C$6:$C$502,C390)&gt;1</x:f>
        <x:v>0</x:v>
      </x:c>
    </x:row>
    <x:row r="391">
      <x:c r="A391" s="89" t="n">
        <x:v>386</x:v>
      </x:c>
      <x:c r="B391" s="89" t="str">
        <x:v>v1-mainnet-0386</x:v>
      </x:c>
      <x:c r="C391" s="90" t="str">
        <x:v>0xccb4482b519ca4e82b29bb75bad850d1c16edd35</x:v>
      </x:c>
      <x:c r="D391" s="98" t="str"/>
      <x:c r="E391" s="98" t="str">
        <x:v>EOA_CANDIDATE</x:v>
      </x:c>
      <x:c r="F391" s="91" t="b">
        <x:v>0</x:v>
      </x:c>
      <x:c r="G391" s="89" t="n">
        <x:v>0</x:v>
      </x:c>
      <x:c r="H391" s="90" t="str">
        <x:v>4583800000000</x:v>
      </x:c>
      <x:c r="I391" s="92" t="n">
        <x:v>4.5838</x:v>
      </x:c>
      <x:c r="J391" s="92" t="str">
        <x:v>4583800000000000000</x:v>
      </x:c>
      <x:c r="K391" s="92" t="n">
        <x:v>4.5838</x:v>
      </x:c>
      <x:c r="L391" s="98" t="str">
        <x:v>PENDING_OWNER_ELIGIBILITY_APPROVAL</x:v>
      </x:c>
      <x:c r="M391" s="98" t="b">
        <x:f>IF(E391="EOA_CANDIDATE",I391&gt;='Decision Summary'!$B$11,FALSE)</x:f>
        <x:v>0</x:v>
      </x:c>
      <x:c r="N391" s="98" t="str">
        <x:f>IF(M391,"DRAFT INCLUDE","HOLD / EXCLUDE")</x:f>
        <x:v>HOLD / EXCLUDE</x:v>
      </x:c>
      <x:c r="O391" s="101" t="str">
        <x:f>IF(M391,C391,"")</x:f>
      </x:c>
      <x:c r="P391" s="98" t="str">
        <x:f>IF(N391="DRAFT INCLUDE",ROUNDUP(COUNTIF($N$6:N391,"DRAFT INCLUDE")/'Decision Summary'!$B$12,0),"")</x:f>
      </x:c>
      <x:c r="Q391" s="98" t="str">
        <x:f>IF(N391="DRAFT INCLUDE",MOD(COUNTIF($N$6:N391,"DRAFT INCLUDE")-1,'Decision Summary'!$B$12)+1,"")</x:f>
      </x:c>
      <x:c r="R391" s="98" t="str">
        <x:v>PENDING</x:v>
      </x:c>
      <x:c r="S391" s="98" t="str"/>
      <x:c r="T391" s="98" t="str">
        <x:v>Ordinary EOA candidate; inclusion still depends on V1 deprecation, threshold policy and owner approval.</x:v>
      </x:c>
      <x:c r="U391" s="89" t="str">
        <x:v>https://etherscan.io/token/0x445d03f499f1c150615957bb87588fb465fc91cc#balances</x:v>
      </x:c>
      <x:c r="V391" s="89" t="b">
        <x:f>COUNTIF($C$6:$C$502,C391)&gt;1</x:f>
        <x:v>0</x:v>
      </x:c>
    </x:row>
    <x:row r="392">
      <x:c r="A392" s="89" t="n">
        <x:v>387</x:v>
      </x:c>
      <x:c r="B392" s="89" t="str">
        <x:v>v1-mainnet-0387</x:v>
      </x:c>
      <x:c r="C392" s="90" t="str">
        <x:v>0x5c0f3b10cd8f7721f4e608115f8b95a0d5385251</x:v>
      </x:c>
      <x:c r="D392" s="98" t="str"/>
      <x:c r="E392" s="98" t="str">
        <x:v>EOA_CANDIDATE</x:v>
      </x:c>
      <x:c r="F392" s="91" t="b">
        <x:v>0</x:v>
      </x:c>
      <x:c r="G392" s="89" t="n">
        <x:v>0</x:v>
      </x:c>
      <x:c r="H392" s="90" t="str">
        <x:v>4582400000000</x:v>
      </x:c>
      <x:c r="I392" s="92" t="n">
        <x:v>4.5824</x:v>
      </x:c>
      <x:c r="J392" s="92" t="str">
        <x:v>4582400000000000000</x:v>
      </x:c>
      <x:c r="K392" s="92" t="n">
        <x:v>4.5824</x:v>
      </x:c>
      <x:c r="L392" s="98" t="str">
        <x:v>PENDING_OWNER_ELIGIBILITY_APPROVAL</x:v>
      </x:c>
      <x:c r="M392" s="98" t="b">
        <x:f>IF(E392="EOA_CANDIDATE",I392&gt;='Decision Summary'!$B$11,FALSE)</x:f>
        <x:v>0</x:v>
      </x:c>
      <x:c r="N392" s="98" t="str">
        <x:f>IF(M392,"DRAFT INCLUDE","HOLD / EXCLUDE")</x:f>
        <x:v>HOLD / EXCLUDE</x:v>
      </x:c>
      <x:c r="O392" s="101" t="str">
        <x:f>IF(M392,C392,"")</x:f>
      </x:c>
      <x:c r="P392" s="98" t="str">
        <x:f>IF(N392="DRAFT INCLUDE",ROUNDUP(COUNTIF($N$6:N392,"DRAFT INCLUDE")/'Decision Summary'!$B$12,0),"")</x:f>
      </x:c>
      <x:c r="Q392" s="98" t="str">
        <x:f>IF(N392="DRAFT INCLUDE",MOD(COUNTIF($N$6:N392,"DRAFT INCLUDE")-1,'Decision Summary'!$B$12)+1,"")</x:f>
      </x:c>
      <x:c r="R392" s="98" t="str">
        <x:v>PENDING</x:v>
      </x:c>
      <x:c r="S392" s="98" t="str"/>
      <x:c r="T392" s="98" t="str">
        <x:v>Ordinary EOA candidate; inclusion still depends on V1 deprecation, threshold policy and owner approval.</x:v>
      </x:c>
      <x:c r="U392" s="89" t="str">
        <x:v>https://etherscan.io/token/0x445d03f499f1c150615957bb87588fb465fc91cc#balances</x:v>
      </x:c>
      <x:c r="V392" s="89" t="b">
        <x:f>COUNTIF($C$6:$C$502,C392)&gt;1</x:f>
        <x:v>0</x:v>
      </x:c>
    </x:row>
    <x:row r="393">
      <x:c r="A393" s="89" t="n">
        <x:v>388</x:v>
      </x:c>
      <x:c r="B393" s="89" t="str">
        <x:v>v1-mainnet-0388</x:v>
      </x:c>
      <x:c r="C393" s="90" t="str">
        <x:v>0xe52d9ae01b7f7c846c0a18d1eaefda63e9a0efc9</x:v>
      </x:c>
      <x:c r="D393" s="98" t="str"/>
      <x:c r="E393" s="98" t="str">
        <x:v>EOA_CANDIDATE</x:v>
      </x:c>
      <x:c r="F393" s="91" t="b">
        <x:v>0</x:v>
      </x:c>
      <x:c r="G393" s="89" t="n">
        <x:v>0</x:v>
      </x:c>
      <x:c r="H393" s="90" t="str">
        <x:v>4569900000000</x:v>
      </x:c>
      <x:c r="I393" s="92" t="n">
        <x:v>4.5699</x:v>
      </x:c>
      <x:c r="J393" s="92" t="str">
        <x:v>4569900000000000000</x:v>
      </x:c>
      <x:c r="K393" s="92" t="n">
        <x:v>4.5699</x:v>
      </x:c>
      <x:c r="L393" s="98" t="str">
        <x:v>PENDING_OWNER_ELIGIBILITY_APPROVAL</x:v>
      </x:c>
      <x:c r="M393" s="98" t="b">
        <x:f>IF(E393="EOA_CANDIDATE",I393&gt;='Decision Summary'!$B$11,FALSE)</x:f>
        <x:v>0</x:v>
      </x:c>
      <x:c r="N393" s="98" t="str">
        <x:f>IF(M393,"DRAFT INCLUDE","HOLD / EXCLUDE")</x:f>
        <x:v>HOLD / EXCLUDE</x:v>
      </x:c>
      <x:c r="O393" s="101" t="str">
        <x:f>IF(M393,C393,"")</x:f>
      </x:c>
      <x:c r="P393" s="98" t="str">
        <x:f>IF(N393="DRAFT INCLUDE",ROUNDUP(COUNTIF($N$6:N393,"DRAFT INCLUDE")/'Decision Summary'!$B$12,0),"")</x:f>
      </x:c>
      <x:c r="Q393" s="98" t="str">
        <x:f>IF(N393="DRAFT INCLUDE",MOD(COUNTIF($N$6:N393,"DRAFT INCLUDE")-1,'Decision Summary'!$B$12)+1,"")</x:f>
      </x:c>
      <x:c r="R393" s="98" t="str">
        <x:v>PENDING</x:v>
      </x:c>
      <x:c r="S393" s="98" t="str"/>
      <x:c r="T393" s="98" t="str">
        <x:v>Ordinary EOA candidate; inclusion still depends on V1 deprecation, threshold policy and owner approval.</x:v>
      </x:c>
      <x:c r="U393" s="89" t="str">
        <x:v>https://etherscan.io/token/0x445d03f499f1c150615957bb87588fb465fc91cc#balances</x:v>
      </x:c>
      <x:c r="V393" s="89" t="b">
        <x:f>COUNTIF($C$6:$C$502,C393)&gt;1</x:f>
        <x:v>0</x:v>
      </x:c>
    </x:row>
    <x:row r="394">
      <x:c r="A394" s="89" t="n">
        <x:v>389</x:v>
      </x:c>
      <x:c r="B394" s="89" t="str">
        <x:v>v1-mainnet-0389</x:v>
      </x:c>
      <x:c r="C394" s="90" t="str">
        <x:v>0xab1f7c8a340273c8fc5d3b9e38ec70cb43f96e5d</x:v>
      </x:c>
      <x:c r="D394" s="98" t="str"/>
      <x:c r="E394" s="98" t="str">
        <x:v>EOA_CANDIDATE</x:v>
      </x:c>
      <x:c r="F394" s="91" t="b">
        <x:v>0</x:v>
      </x:c>
      <x:c r="G394" s="89" t="n">
        <x:v>0</x:v>
      </x:c>
      <x:c r="H394" s="90" t="str">
        <x:v>4569300000000</x:v>
      </x:c>
      <x:c r="I394" s="92" t="n">
        <x:v>4.5693</x:v>
      </x:c>
      <x:c r="J394" s="92" t="str">
        <x:v>4569300000000000000</x:v>
      </x:c>
      <x:c r="K394" s="92" t="n">
        <x:v>4.5693</x:v>
      </x:c>
      <x:c r="L394" s="98" t="str">
        <x:v>PENDING_OWNER_ELIGIBILITY_APPROVAL</x:v>
      </x:c>
      <x:c r="M394" s="98" t="b">
        <x:f>IF(E394="EOA_CANDIDATE",I394&gt;='Decision Summary'!$B$11,FALSE)</x:f>
        <x:v>0</x:v>
      </x:c>
      <x:c r="N394" s="98" t="str">
        <x:f>IF(M394,"DRAFT INCLUDE","HOLD / EXCLUDE")</x:f>
        <x:v>HOLD / EXCLUDE</x:v>
      </x:c>
      <x:c r="O394" s="101" t="str">
        <x:f>IF(M394,C394,"")</x:f>
      </x:c>
      <x:c r="P394" s="98" t="str">
        <x:f>IF(N394="DRAFT INCLUDE",ROUNDUP(COUNTIF($N$6:N394,"DRAFT INCLUDE")/'Decision Summary'!$B$12,0),"")</x:f>
      </x:c>
      <x:c r="Q394" s="98" t="str">
        <x:f>IF(N394="DRAFT INCLUDE",MOD(COUNTIF($N$6:N394,"DRAFT INCLUDE")-1,'Decision Summary'!$B$12)+1,"")</x:f>
      </x:c>
      <x:c r="R394" s="98" t="str">
        <x:v>PENDING</x:v>
      </x:c>
      <x:c r="S394" s="98" t="str"/>
      <x:c r="T394" s="98" t="str">
        <x:v>Ordinary EOA candidate; inclusion still depends on V1 deprecation, threshold policy and owner approval.</x:v>
      </x:c>
      <x:c r="U394" s="89" t="str">
        <x:v>https://etherscan.io/token/0x445d03f499f1c150615957bb87588fb465fc91cc#balances</x:v>
      </x:c>
      <x:c r="V394" s="89" t="b">
        <x:f>COUNTIF($C$6:$C$502,C394)&gt;1</x:f>
        <x:v>0</x:v>
      </x:c>
    </x:row>
    <x:row r="395">
      <x:c r="A395" s="89" t="n">
        <x:v>390</x:v>
      </x:c>
      <x:c r="B395" s="89" t="str">
        <x:v>v1-mainnet-0390</x:v>
      </x:c>
      <x:c r="C395" s="90" t="str">
        <x:v>0x13f4bf4e4dde1d310616b65f834c88cff8490221</x:v>
      </x:c>
      <x:c r="D395" s="98" t="str"/>
      <x:c r="E395" s="98" t="str">
        <x:v>EOA_CANDIDATE</x:v>
      </x:c>
      <x:c r="F395" s="91" t="b">
        <x:v>0</x:v>
      </x:c>
      <x:c r="G395" s="89" t="n">
        <x:v>0</x:v>
      </x:c>
      <x:c r="H395" s="90" t="str">
        <x:v>4548600000000</x:v>
      </x:c>
      <x:c r="I395" s="92" t="n">
        <x:v>4.5486</x:v>
      </x:c>
      <x:c r="J395" s="92" t="str">
        <x:v>4548600000000000000</x:v>
      </x:c>
      <x:c r="K395" s="92" t="n">
        <x:v>4.5486</x:v>
      </x:c>
      <x:c r="L395" s="98" t="str">
        <x:v>PENDING_OWNER_ELIGIBILITY_APPROVAL</x:v>
      </x:c>
      <x:c r="M395" s="98" t="b">
        <x:f>IF(E395="EOA_CANDIDATE",I395&gt;='Decision Summary'!$B$11,FALSE)</x:f>
        <x:v>0</x:v>
      </x:c>
      <x:c r="N395" s="98" t="str">
        <x:f>IF(M395,"DRAFT INCLUDE","HOLD / EXCLUDE")</x:f>
        <x:v>HOLD / EXCLUDE</x:v>
      </x:c>
      <x:c r="O395" s="101" t="str">
        <x:f>IF(M395,C395,"")</x:f>
      </x:c>
      <x:c r="P395" s="98" t="str">
        <x:f>IF(N395="DRAFT INCLUDE",ROUNDUP(COUNTIF($N$6:N395,"DRAFT INCLUDE")/'Decision Summary'!$B$12,0),"")</x:f>
      </x:c>
      <x:c r="Q395" s="98" t="str">
        <x:f>IF(N395="DRAFT INCLUDE",MOD(COUNTIF($N$6:N395,"DRAFT INCLUDE")-1,'Decision Summary'!$B$12)+1,"")</x:f>
      </x:c>
      <x:c r="R395" s="98" t="str">
        <x:v>PENDING</x:v>
      </x:c>
      <x:c r="S395" s="98" t="str"/>
      <x:c r="T395" s="98" t="str">
        <x:v>Ordinary EOA candidate; inclusion still depends on V1 deprecation, threshold policy and owner approval.</x:v>
      </x:c>
      <x:c r="U395" s="89" t="str">
        <x:v>https://etherscan.io/token/0x445d03f499f1c150615957bb87588fb465fc91cc#balances</x:v>
      </x:c>
      <x:c r="V395" s="89" t="b">
        <x:f>COUNTIF($C$6:$C$502,C395)&gt;1</x:f>
        <x:v>0</x:v>
      </x:c>
    </x:row>
    <x:row r="396">
      <x:c r="A396" s="89" t="n">
        <x:v>391</x:v>
      </x:c>
      <x:c r="B396" s="89" t="str">
        <x:v>v1-mainnet-0391</x:v>
      </x:c>
      <x:c r="C396" s="90" t="str">
        <x:v>0x2392d7cccc78de8b28577dc5f09b6c9dd111f572</x:v>
      </x:c>
      <x:c r="D396" s="98" t="str"/>
      <x:c r="E396" s="98" t="str">
        <x:v>EOA_CANDIDATE</x:v>
      </x:c>
      <x:c r="F396" s="91" t="b">
        <x:v>0</x:v>
      </x:c>
      <x:c r="G396" s="89" t="n">
        <x:v>0</x:v>
      </x:c>
      <x:c r="H396" s="90" t="str">
        <x:v>4545100000000</x:v>
      </x:c>
      <x:c r="I396" s="92" t="n">
        <x:v>4.5451</x:v>
      </x:c>
      <x:c r="J396" s="92" t="str">
        <x:v>4545100000000000000</x:v>
      </x:c>
      <x:c r="K396" s="92" t="n">
        <x:v>4.5451</x:v>
      </x:c>
      <x:c r="L396" s="98" t="str">
        <x:v>PENDING_OWNER_ELIGIBILITY_APPROVAL</x:v>
      </x:c>
      <x:c r="M396" s="98" t="b">
        <x:f>IF(E396="EOA_CANDIDATE",I396&gt;='Decision Summary'!$B$11,FALSE)</x:f>
        <x:v>0</x:v>
      </x:c>
      <x:c r="N396" s="98" t="str">
        <x:f>IF(M396,"DRAFT INCLUDE","HOLD / EXCLUDE")</x:f>
        <x:v>HOLD / EXCLUDE</x:v>
      </x:c>
      <x:c r="O396" s="101" t="str">
        <x:f>IF(M396,C396,"")</x:f>
      </x:c>
      <x:c r="P396" s="98" t="str">
        <x:f>IF(N396="DRAFT INCLUDE",ROUNDUP(COUNTIF($N$6:N396,"DRAFT INCLUDE")/'Decision Summary'!$B$12,0),"")</x:f>
      </x:c>
      <x:c r="Q396" s="98" t="str">
        <x:f>IF(N396="DRAFT INCLUDE",MOD(COUNTIF($N$6:N396,"DRAFT INCLUDE")-1,'Decision Summary'!$B$12)+1,"")</x:f>
      </x:c>
      <x:c r="R396" s="98" t="str">
        <x:v>PENDING</x:v>
      </x:c>
      <x:c r="S396" s="98" t="str"/>
      <x:c r="T396" s="98" t="str">
        <x:v>Ordinary EOA candidate; inclusion still depends on V1 deprecation, threshold policy and owner approval.</x:v>
      </x:c>
      <x:c r="U396" s="89" t="str">
        <x:v>https://etherscan.io/token/0x445d03f499f1c150615957bb87588fb465fc91cc#balances</x:v>
      </x:c>
      <x:c r="V396" s="89" t="b">
        <x:f>COUNTIF($C$6:$C$502,C396)&gt;1</x:f>
        <x:v>0</x:v>
      </x:c>
    </x:row>
    <x:row r="397">
      <x:c r="A397" s="89" t="n">
        <x:v>392</x:v>
      </x:c>
      <x:c r="B397" s="89" t="str">
        <x:v>v1-mainnet-0392</x:v>
      </x:c>
      <x:c r="C397" s="90" t="str">
        <x:v>0x5a5e3403185f6117f0c957069fc259942eacb20b</x:v>
      </x:c>
      <x:c r="D397" s="98" t="str"/>
      <x:c r="E397" s="98" t="str">
        <x:v>EOA_CANDIDATE</x:v>
      </x:c>
      <x:c r="F397" s="91" t="b">
        <x:v>0</x:v>
      </x:c>
      <x:c r="G397" s="89" t="n">
        <x:v>0</x:v>
      </x:c>
      <x:c r="H397" s="90" t="str">
        <x:v>4540100000000</x:v>
      </x:c>
      <x:c r="I397" s="92" t="n">
        <x:v>4.5401</x:v>
      </x:c>
      <x:c r="J397" s="92" t="str">
        <x:v>4540100000000000000</x:v>
      </x:c>
      <x:c r="K397" s="92" t="n">
        <x:v>4.5401</x:v>
      </x:c>
      <x:c r="L397" s="98" t="str">
        <x:v>PENDING_OWNER_ELIGIBILITY_APPROVAL</x:v>
      </x:c>
      <x:c r="M397" s="98" t="b">
        <x:f>IF(E397="EOA_CANDIDATE",I397&gt;='Decision Summary'!$B$11,FALSE)</x:f>
        <x:v>0</x:v>
      </x:c>
      <x:c r="N397" s="98" t="str">
        <x:f>IF(M397,"DRAFT INCLUDE","HOLD / EXCLUDE")</x:f>
        <x:v>HOLD / EXCLUDE</x:v>
      </x:c>
      <x:c r="O397" s="101" t="str">
        <x:f>IF(M397,C397,"")</x:f>
      </x:c>
      <x:c r="P397" s="98" t="str">
        <x:f>IF(N397="DRAFT INCLUDE",ROUNDUP(COUNTIF($N$6:N397,"DRAFT INCLUDE")/'Decision Summary'!$B$12,0),"")</x:f>
      </x:c>
      <x:c r="Q397" s="98" t="str">
        <x:f>IF(N397="DRAFT INCLUDE",MOD(COUNTIF($N$6:N397,"DRAFT INCLUDE")-1,'Decision Summary'!$B$12)+1,"")</x:f>
      </x:c>
      <x:c r="R397" s="98" t="str">
        <x:v>PENDING</x:v>
      </x:c>
      <x:c r="S397" s="98" t="str"/>
      <x:c r="T397" s="98" t="str">
        <x:v>Ordinary EOA candidate; inclusion still depends on V1 deprecation, threshold policy and owner approval.</x:v>
      </x:c>
      <x:c r="U397" s="89" t="str">
        <x:v>https://etherscan.io/token/0x445d03f499f1c150615957bb87588fb465fc91cc#balances</x:v>
      </x:c>
      <x:c r="V397" s="89" t="b">
        <x:f>COUNTIF($C$6:$C$502,C397)&gt;1</x:f>
        <x:v>0</x:v>
      </x:c>
    </x:row>
    <x:row r="398">
      <x:c r="A398" s="89" t="n">
        <x:v>393</x:v>
      </x:c>
      <x:c r="B398" s="89" t="str">
        <x:v>v1-mainnet-0393</x:v>
      </x:c>
      <x:c r="C398" s="90" t="str">
        <x:v>0xe439894789bdc2f378cc8b142f233f80fce937a5</x:v>
      </x:c>
      <x:c r="D398" s="98" t="str"/>
      <x:c r="E398" s="98" t="str">
        <x:v>EOA_CANDIDATE</x:v>
      </x:c>
      <x:c r="F398" s="91" t="b">
        <x:v>0</x:v>
      </x:c>
      <x:c r="G398" s="89" t="n">
        <x:v>0</x:v>
      </x:c>
      <x:c r="H398" s="90" t="str">
        <x:v>4538500000000</x:v>
      </x:c>
      <x:c r="I398" s="92" t="n">
        <x:v>4.5385</x:v>
      </x:c>
      <x:c r="J398" s="92" t="str">
        <x:v>4538500000000000000</x:v>
      </x:c>
      <x:c r="K398" s="92" t="n">
        <x:v>4.5385</x:v>
      </x:c>
      <x:c r="L398" s="98" t="str">
        <x:v>PENDING_OWNER_ELIGIBILITY_APPROVAL</x:v>
      </x:c>
      <x:c r="M398" s="98" t="b">
        <x:f>IF(E398="EOA_CANDIDATE",I398&gt;='Decision Summary'!$B$11,FALSE)</x:f>
        <x:v>0</x:v>
      </x:c>
      <x:c r="N398" s="98" t="str">
        <x:f>IF(M398,"DRAFT INCLUDE","HOLD / EXCLUDE")</x:f>
        <x:v>HOLD / EXCLUDE</x:v>
      </x:c>
      <x:c r="O398" s="101" t="str">
        <x:f>IF(M398,C398,"")</x:f>
      </x:c>
      <x:c r="P398" s="98" t="str">
        <x:f>IF(N398="DRAFT INCLUDE",ROUNDUP(COUNTIF($N$6:N398,"DRAFT INCLUDE")/'Decision Summary'!$B$12,0),"")</x:f>
      </x:c>
      <x:c r="Q398" s="98" t="str">
        <x:f>IF(N398="DRAFT INCLUDE",MOD(COUNTIF($N$6:N398,"DRAFT INCLUDE")-1,'Decision Summary'!$B$12)+1,"")</x:f>
      </x:c>
      <x:c r="R398" s="98" t="str">
        <x:v>PENDING</x:v>
      </x:c>
      <x:c r="S398" s="98" t="str"/>
      <x:c r="T398" s="98" t="str">
        <x:v>Ordinary EOA candidate; inclusion still depends on V1 deprecation, threshold policy and owner approval.</x:v>
      </x:c>
      <x:c r="U398" s="89" t="str">
        <x:v>https://etherscan.io/token/0x445d03f499f1c150615957bb87588fb465fc91cc#balances</x:v>
      </x:c>
      <x:c r="V398" s="89" t="b">
        <x:f>COUNTIF($C$6:$C$502,C398)&gt;1</x:f>
        <x:v>0</x:v>
      </x:c>
    </x:row>
    <x:row r="399">
      <x:c r="A399" s="89" t="n">
        <x:v>394</x:v>
      </x:c>
      <x:c r="B399" s="89" t="str">
        <x:v>v1-mainnet-0394</x:v>
      </x:c>
      <x:c r="C399" s="90" t="str">
        <x:v>0x5f4ed6700cc9e7a24c933bb6d23e9d33e1be03db</x:v>
      </x:c>
      <x:c r="D399" s="98" t="str"/>
      <x:c r="E399" s="98" t="str">
        <x:v>EOA_CANDIDATE</x:v>
      </x:c>
      <x:c r="F399" s="91" t="b">
        <x:v>0</x:v>
      </x:c>
      <x:c r="G399" s="89" t="n">
        <x:v>0</x:v>
      </x:c>
      <x:c r="H399" s="90" t="str">
        <x:v>4527400000000</x:v>
      </x:c>
      <x:c r="I399" s="92" t="n">
        <x:v>4.5274</x:v>
      </x:c>
      <x:c r="J399" s="92" t="str">
        <x:v>4527400000000000000</x:v>
      </x:c>
      <x:c r="K399" s="92" t="n">
        <x:v>4.5274</x:v>
      </x:c>
      <x:c r="L399" s="98" t="str">
        <x:v>PENDING_OWNER_ELIGIBILITY_APPROVAL</x:v>
      </x:c>
      <x:c r="M399" s="98" t="b">
        <x:f>IF(E399="EOA_CANDIDATE",I399&gt;='Decision Summary'!$B$11,FALSE)</x:f>
        <x:v>0</x:v>
      </x:c>
      <x:c r="N399" s="98" t="str">
        <x:f>IF(M399,"DRAFT INCLUDE","HOLD / EXCLUDE")</x:f>
        <x:v>HOLD / EXCLUDE</x:v>
      </x:c>
      <x:c r="O399" s="101" t="str">
        <x:f>IF(M399,C399,"")</x:f>
      </x:c>
      <x:c r="P399" s="98" t="str">
        <x:f>IF(N399="DRAFT INCLUDE",ROUNDUP(COUNTIF($N$6:N399,"DRAFT INCLUDE")/'Decision Summary'!$B$12,0),"")</x:f>
      </x:c>
      <x:c r="Q399" s="98" t="str">
        <x:f>IF(N399="DRAFT INCLUDE",MOD(COUNTIF($N$6:N399,"DRAFT INCLUDE")-1,'Decision Summary'!$B$12)+1,"")</x:f>
      </x:c>
      <x:c r="R399" s="98" t="str">
        <x:v>PENDING</x:v>
      </x:c>
      <x:c r="S399" s="98" t="str"/>
      <x:c r="T399" s="98" t="str">
        <x:v>Ordinary EOA candidate; inclusion still depends on V1 deprecation, threshold policy and owner approval.</x:v>
      </x:c>
      <x:c r="U399" s="89" t="str">
        <x:v>https://etherscan.io/token/0x445d03f499f1c150615957bb87588fb465fc91cc#balances</x:v>
      </x:c>
      <x:c r="V399" s="89" t="b">
        <x:f>COUNTIF($C$6:$C$502,C399)&gt;1</x:f>
        <x:v>0</x:v>
      </x:c>
    </x:row>
    <x:row r="400">
      <x:c r="A400" s="89" t="n">
        <x:v>395</x:v>
      </x:c>
      <x:c r="B400" s="89" t="str">
        <x:v>v1-mainnet-0395</x:v>
      </x:c>
      <x:c r="C400" s="90" t="str">
        <x:v>0x396edd5728bc8473106748d7c6bc703e40627271</x:v>
      </x:c>
      <x:c r="D400" s="98" t="str"/>
      <x:c r="E400" s="98" t="str">
        <x:v>EOA_CANDIDATE</x:v>
      </x:c>
      <x:c r="F400" s="91" t="b">
        <x:v>0</x:v>
      </x:c>
      <x:c r="G400" s="89" t="n">
        <x:v>0</x:v>
      </x:c>
      <x:c r="H400" s="90" t="str">
        <x:v>4519400000000</x:v>
      </x:c>
      <x:c r="I400" s="92" t="n">
        <x:v>4.5194</x:v>
      </x:c>
      <x:c r="J400" s="92" t="str">
        <x:v>4519400000000000000</x:v>
      </x:c>
      <x:c r="K400" s="92" t="n">
        <x:v>4.5194</x:v>
      </x:c>
      <x:c r="L400" s="98" t="str">
        <x:v>PENDING_OWNER_ELIGIBILITY_APPROVAL</x:v>
      </x:c>
      <x:c r="M400" s="98" t="b">
        <x:f>IF(E400="EOA_CANDIDATE",I400&gt;='Decision Summary'!$B$11,FALSE)</x:f>
        <x:v>0</x:v>
      </x:c>
      <x:c r="N400" s="98" t="str">
        <x:f>IF(M400,"DRAFT INCLUDE","HOLD / EXCLUDE")</x:f>
        <x:v>HOLD / EXCLUDE</x:v>
      </x:c>
      <x:c r="O400" s="101" t="str">
        <x:f>IF(M400,C400,"")</x:f>
      </x:c>
      <x:c r="P400" s="98" t="str">
        <x:f>IF(N400="DRAFT INCLUDE",ROUNDUP(COUNTIF($N$6:N400,"DRAFT INCLUDE")/'Decision Summary'!$B$12,0),"")</x:f>
      </x:c>
      <x:c r="Q400" s="98" t="str">
        <x:f>IF(N400="DRAFT INCLUDE",MOD(COUNTIF($N$6:N400,"DRAFT INCLUDE")-1,'Decision Summary'!$B$12)+1,"")</x:f>
      </x:c>
      <x:c r="R400" s="98" t="str">
        <x:v>PENDING</x:v>
      </x:c>
      <x:c r="S400" s="98" t="str"/>
      <x:c r="T400" s="98" t="str">
        <x:v>Ordinary EOA candidate; inclusion still depends on V1 deprecation, threshold policy and owner approval.</x:v>
      </x:c>
      <x:c r="U400" s="89" t="str">
        <x:v>https://etherscan.io/token/0x445d03f499f1c150615957bb87588fb465fc91cc#balances</x:v>
      </x:c>
      <x:c r="V400" s="89" t="b">
        <x:f>COUNTIF($C$6:$C$502,C400)&gt;1</x:f>
        <x:v>0</x:v>
      </x:c>
    </x:row>
    <x:row r="401">
      <x:c r="A401" s="89" t="n">
        <x:v>396</x:v>
      </x:c>
      <x:c r="B401" s="89" t="str">
        <x:v>v1-mainnet-0396</x:v>
      </x:c>
      <x:c r="C401" s="90" t="str">
        <x:v>0xcecca09ac85bed231f16fda1adbfc4960620084f</x:v>
      </x:c>
      <x:c r="D401" s="98" t="str"/>
      <x:c r="E401" s="98" t="str">
        <x:v>EOA_CANDIDATE</x:v>
      </x:c>
      <x:c r="F401" s="91" t="b">
        <x:v>0</x:v>
      </x:c>
      <x:c r="G401" s="89" t="n">
        <x:v>0</x:v>
      </x:c>
      <x:c r="H401" s="90" t="str">
        <x:v>4513500000000</x:v>
      </x:c>
      <x:c r="I401" s="92" t="n">
        <x:v>4.5135</x:v>
      </x:c>
      <x:c r="J401" s="92" t="str">
        <x:v>4513500000000000000</x:v>
      </x:c>
      <x:c r="K401" s="92" t="n">
        <x:v>4.5135</x:v>
      </x:c>
      <x:c r="L401" s="98" t="str">
        <x:v>PENDING_OWNER_ELIGIBILITY_APPROVAL</x:v>
      </x:c>
      <x:c r="M401" s="98" t="b">
        <x:f>IF(E401="EOA_CANDIDATE",I401&gt;='Decision Summary'!$B$11,FALSE)</x:f>
        <x:v>0</x:v>
      </x:c>
      <x:c r="N401" s="98" t="str">
        <x:f>IF(M401,"DRAFT INCLUDE","HOLD / EXCLUDE")</x:f>
        <x:v>HOLD / EXCLUDE</x:v>
      </x:c>
      <x:c r="O401" s="101" t="str">
        <x:f>IF(M401,C401,"")</x:f>
      </x:c>
      <x:c r="P401" s="98" t="str">
        <x:f>IF(N401="DRAFT INCLUDE",ROUNDUP(COUNTIF($N$6:N401,"DRAFT INCLUDE")/'Decision Summary'!$B$12,0),"")</x:f>
      </x:c>
      <x:c r="Q401" s="98" t="str">
        <x:f>IF(N401="DRAFT INCLUDE",MOD(COUNTIF($N$6:N401,"DRAFT INCLUDE")-1,'Decision Summary'!$B$12)+1,"")</x:f>
      </x:c>
      <x:c r="R401" s="98" t="str">
        <x:v>PENDING</x:v>
      </x:c>
      <x:c r="S401" s="98" t="str"/>
      <x:c r="T401" s="98" t="str">
        <x:v>Ordinary EOA candidate; inclusion still depends on V1 deprecation, threshold policy and owner approval.</x:v>
      </x:c>
      <x:c r="U401" s="89" t="str">
        <x:v>https://etherscan.io/token/0x445d03f499f1c150615957bb87588fb465fc91cc#balances</x:v>
      </x:c>
      <x:c r="V401" s="89" t="b">
        <x:f>COUNTIF($C$6:$C$502,C401)&gt;1</x:f>
        <x:v>0</x:v>
      </x:c>
    </x:row>
    <x:row r="402">
      <x:c r="A402" s="89" t="n">
        <x:v>397</x:v>
      </x:c>
      <x:c r="B402" s="89" t="str">
        <x:v>v1-mainnet-0397</x:v>
      </x:c>
      <x:c r="C402" s="90" t="str">
        <x:v>0x2fc46e3a8163b69cf26b3f3731da8249131bbc99</x:v>
      </x:c>
      <x:c r="D402" s="98" t="str"/>
      <x:c r="E402" s="98" t="str">
        <x:v>EOA_CANDIDATE</x:v>
      </x:c>
      <x:c r="F402" s="91" t="b">
        <x:v>0</x:v>
      </x:c>
      <x:c r="G402" s="89" t="n">
        <x:v>0</x:v>
      </x:c>
      <x:c r="H402" s="90" t="str">
        <x:v>4513100000000</x:v>
      </x:c>
      <x:c r="I402" s="92" t="n">
        <x:v>4.5131</x:v>
      </x:c>
      <x:c r="J402" s="92" t="str">
        <x:v>4513100000000000000</x:v>
      </x:c>
      <x:c r="K402" s="92" t="n">
        <x:v>4.5131</x:v>
      </x:c>
      <x:c r="L402" s="98" t="str">
        <x:v>PENDING_OWNER_ELIGIBILITY_APPROVAL</x:v>
      </x:c>
      <x:c r="M402" s="98" t="b">
        <x:f>IF(E402="EOA_CANDIDATE",I402&gt;='Decision Summary'!$B$11,FALSE)</x:f>
        <x:v>0</x:v>
      </x:c>
      <x:c r="N402" s="98" t="str">
        <x:f>IF(M402,"DRAFT INCLUDE","HOLD / EXCLUDE")</x:f>
        <x:v>HOLD / EXCLUDE</x:v>
      </x:c>
      <x:c r="O402" s="101" t="str">
        <x:f>IF(M402,C402,"")</x:f>
      </x:c>
      <x:c r="P402" s="98" t="str">
        <x:f>IF(N402="DRAFT INCLUDE",ROUNDUP(COUNTIF($N$6:N402,"DRAFT INCLUDE")/'Decision Summary'!$B$12,0),"")</x:f>
      </x:c>
      <x:c r="Q402" s="98" t="str">
        <x:f>IF(N402="DRAFT INCLUDE",MOD(COUNTIF($N$6:N402,"DRAFT INCLUDE")-1,'Decision Summary'!$B$12)+1,"")</x:f>
      </x:c>
      <x:c r="R402" s="98" t="str">
        <x:v>PENDING</x:v>
      </x:c>
      <x:c r="S402" s="98" t="str"/>
      <x:c r="T402" s="98" t="str">
        <x:v>Ordinary EOA candidate; inclusion still depends on V1 deprecation, threshold policy and owner approval.</x:v>
      </x:c>
      <x:c r="U402" s="89" t="str">
        <x:v>https://etherscan.io/token/0x445d03f499f1c150615957bb87588fb465fc91cc#balances</x:v>
      </x:c>
      <x:c r="V402" s="89" t="b">
        <x:f>COUNTIF($C$6:$C$502,C402)&gt;1</x:f>
        <x:v>0</x:v>
      </x:c>
    </x:row>
    <x:row r="403">
      <x:c r="A403" s="89" t="n">
        <x:v>398</x:v>
      </x:c>
      <x:c r="B403" s="89" t="str">
        <x:v>v1-mainnet-0398</x:v>
      </x:c>
      <x:c r="C403" s="90" t="str">
        <x:v>0x1dd552bbf5275ce40e0ed31cdfc0f6535bf895ae</x:v>
      </x:c>
      <x:c r="D403" s="98" t="str"/>
      <x:c r="E403" s="98" t="str">
        <x:v>EOA_CANDIDATE</x:v>
      </x:c>
      <x:c r="F403" s="91" t="b">
        <x:v>0</x:v>
      </x:c>
      <x:c r="G403" s="89" t="n">
        <x:v>0</x:v>
      </x:c>
      <x:c r="H403" s="90" t="str">
        <x:v>4511700000000</x:v>
      </x:c>
      <x:c r="I403" s="92" t="n">
        <x:v>4.5117</x:v>
      </x:c>
      <x:c r="J403" s="92" t="str">
        <x:v>4511700000000000000</x:v>
      </x:c>
      <x:c r="K403" s="92" t="n">
        <x:v>4.5117</x:v>
      </x:c>
      <x:c r="L403" s="98" t="str">
        <x:v>PENDING_OWNER_ELIGIBILITY_APPROVAL</x:v>
      </x:c>
      <x:c r="M403" s="98" t="b">
        <x:f>IF(E403="EOA_CANDIDATE",I403&gt;='Decision Summary'!$B$11,FALSE)</x:f>
        <x:v>0</x:v>
      </x:c>
      <x:c r="N403" s="98" t="str">
        <x:f>IF(M403,"DRAFT INCLUDE","HOLD / EXCLUDE")</x:f>
        <x:v>HOLD / EXCLUDE</x:v>
      </x:c>
      <x:c r="O403" s="101" t="str">
        <x:f>IF(M403,C403,"")</x:f>
      </x:c>
      <x:c r="P403" s="98" t="str">
        <x:f>IF(N403="DRAFT INCLUDE",ROUNDUP(COUNTIF($N$6:N403,"DRAFT INCLUDE")/'Decision Summary'!$B$12,0),"")</x:f>
      </x:c>
      <x:c r="Q403" s="98" t="str">
        <x:f>IF(N403="DRAFT INCLUDE",MOD(COUNTIF($N$6:N403,"DRAFT INCLUDE")-1,'Decision Summary'!$B$12)+1,"")</x:f>
      </x:c>
      <x:c r="R403" s="98" t="str">
        <x:v>PENDING</x:v>
      </x:c>
      <x:c r="S403" s="98" t="str"/>
      <x:c r="T403" s="98" t="str">
        <x:v>Ordinary EOA candidate; inclusion still depends on V1 deprecation, threshold policy and owner approval.</x:v>
      </x:c>
      <x:c r="U403" s="89" t="str">
        <x:v>https://etherscan.io/token/0x445d03f499f1c150615957bb87588fb465fc91cc#balances</x:v>
      </x:c>
      <x:c r="V403" s="89" t="b">
        <x:f>COUNTIF($C$6:$C$502,C403)&gt;1</x:f>
        <x:v>0</x:v>
      </x:c>
    </x:row>
    <x:row r="404">
      <x:c r="A404" s="89" t="n">
        <x:v>399</x:v>
      </x:c>
      <x:c r="B404" s="89" t="str">
        <x:v>v1-mainnet-0399</x:v>
      </x:c>
      <x:c r="C404" s="90" t="str">
        <x:v>0xb6ca0fddc82f0080df6fb7b4bcfe259c51ca3d36</x:v>
      </x:c>
      <x:c r="D404" s="98" t="str"/>
      <x:c r="E404" s="98" t="str">
        <x:v>EOA_CANDIDATE</x:v>
      </x:c>
      <x:c r="F404" s="91" t="b">
        <x:v>0</x:v>
      </x:c>
      <x:c r="G404" s="89" t="n">
        <x:v>0</x:v>
      </x:c>
      <x:c r="H404" s="90" t="str">
        <x:v>4489700000000</x:v>
      </x:c>
      <x:c r="I404" s="92" t="n">
        <x:v>4.4897</x:v>
      </x:c>
      <x:c r="J404" s="92" t="str">
        <x:v>4489700000000000000</x:v>
      </x:c>
      <x:c r="K404" s="92" t="n">
        <x:v>4.4897</x:v>
      </x:c>
      <x:c r="L404" s="98" t="str">
        <x:v>PENDING_OWNER_ELIGIBILITY_APPROVAL</x:v>
      </x:c>
      <x:c r="M404" s="98" t="b">
        <x:f>IF(E404="EOA_CANDIDATE",I404&gt;='Decision Summary'!$B$11,FALSE)</x:f>
        <x:v>0</x:v>
      </x:c>
      <x:c r="N404" s="98" t="str">
        <x:f>IF(M404,"DRAFT INCLUDE","HOLD / EXCLUDE")</x:f>
        <x:v>HOLD / EXCLUDE</x:v>
      </x:c>
      <x:c r="O404" s="101" t="str">
        <x:f>IF(M404,C404,"")</x:f>
      </x:c>
      <x:c r="P404" s="98" t="str">
        <x:f>IF(N404="DRAFT INCLUDE",ROUNDUP(COUNTIF($N$6:N404,"DRAFT INCLUDE")/'Decision Summary'!$B$12,0),"")</x:f>
      </x:c>
      <x:c r="Q404" s="98" t="str">
        <x:f>IF(N404="DRAFT INCLUDE",MOD(COUNTIF($N$6:N404,"DRAFT INCLUDE")-1,'Decision Summary'!$B$12)+1,"")</x:f>
      </x:c>
      <x:c r="R404" s="98" t="str">
        <x:v>PENDING</x:v>
      </x:c>
      <x:c r="S404" s="98" t="str"/>
      <x:c r="T404" s="98" t="str">
        <x:v>Ordinary EOA candidate; inclusion still depends on V1 deprecation, threshold policy and owner approval.</x:v>
      </x:c>
      <x:c r="U404" s="89" t="str">
        <x:v>https://etherscan.io/token/0x445d03f499f1c150615957bb87588fb465fc91cc#balances</x:v>
      </x:c>
      <x:c r="V404" s="89" t="b">
        <x:f>COUNTIF($C$6:$C$502,C404)&gt;1</x:f>
        <x:v>0</x:v>
      </x:c>
    </x:row>
    <x:row r="405">
      <x:c r="A405" s="89" t="n">
        <x:v>400</x:v>
      </x:c>
      <x:c r="B405" s="89" t="str">
        <x:v>v1-mainnet-0400</x:v>
      </x:c>
      <x:c r="C405" s="90" t="str">
        <x:v>0x9a7d01f386faec14b4329250e4d27cc57eea6e2d</x:v>
      </x:c>
      <x:c r="D405" s="98" t="str"/>
      <x:c r="E405" s="98" t="str">
        <x:v>EOA_CANDIDATE</x:v>
      </x:c>
      <x:c r="F405" s="91" t="b">
        <x:v>0</x:v>
      </x:c>
      <x:c r="G405" s="89" t="n">
        <x:v>0</x:v>
      </x:c>
      <x:c r="H405" s="90" t="str">
        <x:v>4488700000000</x:v>
      </x:c>
      <x:c r="I405" s="92" t="n">
        <x:v>4.4887</x:v>
      </x:c>
      <x:c r="J405" s="92" t="str">
        <x:v>4488700000000000000</x:v>
      </x:c>
      <x:c r="K405" s="92" t="n">
        <x:v>4.4887</x:v>
      </x:c>
      <x:c r="L405" s="98" t="str">
        <x:v>PENDING_OWNER_ELIGIBILITY_APPROVAL</x:v>
      </x:c>
      <x:c r="M405" s="98" t="b">
        <x:f>IF(E405="EOA_CANDIDATE",I405&gt;='Decision Summary'!$B$11,FALSE)</x:f>
        <x:v>0</x:v>
      </x:c>
      <x:c r="N405" s="98" t="str">
        <x:f>IF(M405,"DRAFT INCLUDE","HOLD / EXCLUDE")</x:f>
        <x:v>HOLD / EXCLUDE</x:v>
      </x:c>
      <x:c r="O405" s="101" t="str">
        <x:f>IF(M405,C405,"")</x:f>
      </x:c>
      <x:c r="P405" s="98" t="str">
        <x:f>IF(N405="DRAFT INCLUDE",ROUNDUP(COUNTIF($N$6:N405,"DRAFT INCLUDE")/'Decision Summary'!$B$12,0),"")</x:f>
      </x:c>
      <x:c r="Q405" s="98" t="str">
        <x:f>IF(N405="DRAFT INCLUDE",MOD(COUNTIF($N$6:N405,"DRAFT INCLUDE")-1,'Decision Summary'!$B$12)+1,"")</x:f>
      </x:c>
      <x:c r="R405" s="98" t="str">
        <x:v>PENDING</x:v>
      </x:c>
      <x:c r="S405" s="98" t="str"/>
      <x:c r="T405" s="98" t="str">
        <x:v>Ordinary EOA candidate; inclusion still depends on V1 deprecation, threshold policy and owner approval.</x:v>
      </x:c>
      <x:c r="U405" s="89" t="str">
        <x:v>https://etherscan.io/token/0x445d03f499f1c150615957bb87588fb465fc91cc#balances</x:v>
      </x:c>
      <x:c r="V405" s="89" t="b">
        <x:f>COUNTIF($C$6:$C$502,C405)&gt;1</x:f>
        <x:v>0</x:v>
      </x:c>
    </x:row>
    <x:row r="406">
      <x:c r="A406" s="89" t="n">
        <x:v>401</x:v>
      </x:c>
      <x:c r="B406" s="89" t="str">
        <x:v>v1-mainnet-0401</x:v>
      </x:c>
      <x:c r="C406" s="90" t="str">
        <x:v>0xca391d7d566264db61c91c93cb263cfab3020f34</x:v>
      </x:c>
      <x:c r="D406" s="98" t="str"/>
      <x:c r="E406" s="98" t="str">
        <x:v>EOA_CANDIDATE</x:v>
      </x:c>
      <x:c r="F406" s="91" t="b">
        <x:v>0</x:v>
      </x:c>
      <x:c r="G406" s="89" t="n">
        <x:v>0</x:v>
      </x:c>
      <x:c r="H406" s="90" t="str">
        <x:v>4484300000000</x:v>
      </x:c>
      <x:c r="I406" s="92" t="n">
        <x:v>4.4843</x:v>
      </x:c>
      <x:c r="J406" s="92" t="str">
        <x:v>4484300000000000000</x:v>
      </x:c>
      <x:c r="K406" s="92" t="n">
        <x:v>4.4843</x:v>
      </x:c>
      <x:c r="L406" s="98" t="str">
        <x:v>PENDING_OWNER_ELIGIBILITY_APPROVAL</x:v>
      </x:c>
      <x:c r="M406" s="98" t="b">
        <x:f>IF(E406="EOA_CANDIDATE",I406&gt;='Decision Summary'!$B$11,FALSE)</x:f>
        <x:v>0</x:v>
      </x:c>
      <x:c r="N406" s="98" t="str">
        <x:f>IF(M406,"DRAFT INCLUDE","HOLD / EXCLUDE")</x:f>
        <x:v>HOLD / EXCLUDE</x:v>
      </x:c>
      <x:c r="O406" s="101" t="str">
        <x:f>IF(M406,C406,"")</x:f>
      </x:c>
      <x:c r="P406" s="98" t="str">
        <x:f>IF(N406="DRAFT INCLUDE",ROUNDUP(COUNTIF($N$6:N406,"DRAFT INCLUDE")/'Decision Summary'!$B$12,0),"")</x:f>
      </x:c>
      <x:c r="Q406" s="98" t="str">
        <x:f>IF(N406="DRAFT INCLUDE",MOD(COUNTIF($N$6:N406,"DRAFT INCLUDE")-1,'Decision Summary'!$B$12)+1,"")</x:f>
      </x:c>
      <x:c r="R406" s="98" t="str">
        <x:v>PENDING</x:v>
      </x:c>
      <x:c r="S406" s="98" t="str"/>
      <x:c r="T406" s="98" t="str">
        <x:v>Ordinary EOA candidate; inclusion still depends on V1 deprecation, threshold policy and owner approval.</x:v>
      </x:c>
      <x:c r="U406" s="89" t="str">
        <x:v>https://etherscan.io/token/0x445d03f499f1c150615957bb87588fb465fc91cc#balances</x:v>
      </x:c>
      <x:c r="V406" s="89" t="b">
        <x:f>COUNTIF($C$6:$C$502,C406)&gt;1</x:f>
        <x:v>0</x:v>
      </x:c>
    </x:row>
    <x:row r="407">
      <x:c r="A407" s="89" t="n">
        <x:v>402</x:v>
      </x:c>
      <x:c r="B407" s="89" t="str">
        <x:v>v1-mainnet-0402</x:v>
      </x:c>
      <x:c r="C407" s="90" t="str">
        <x:v>0xf33985bffcc71a6c8eeebb9c9325142bb21ea00e</x:v>
      </x:c>
      <x:c r="D407" s="98" t="str"/>
      <x:c r="E407" s="98" t="str">
        <x:v>EOA_CANDIDATE</x:v>
      </x:c>
      <x:c r="F407" s="91" t="b">
        <x:v>0</x:v>
      </x:c>
      <x:c r="G407" s="89" t="n">
        <x:v>0</x:v>
      </x:c>
      <x:c r="H407" s="90" t="str">
        <x:v>4471800000000</x:v>
      </x:c>
      <x:c r="I407" s="92" t="n">
        <x:v>4.4718</x:v>
      </x:c>
      <x:c r="J407" s="92" t="str">
        <x:v>4471800000000000000</x:v>
      </x:c>
      <x:c r="K407" s="92" t="n">
        <x:v>4.4718</x:v>
      </x:c>
      <x:c r="L407" s="98" t="str">
        <x:v>PENDING_OWNER_ELIGIBILITY_APPROVAL</x:v>
      </x:c>
      <x:c r="M407" s="98" t="b">
        <x:f>IF(E407="EOA_CANDIDATE",I407&gt;='Decision Summary'!$B$11,FALSE)</x:f>
        <x:v>0</x:v>
      </x:c>
      <x:c r="N407" s="98" t="str">
        <x:f>IF(M407,"DRAFT INCLUDE","HOLD / EXCLUDE")</x:f>
        <x:v>HOLD / EXCLUDE</x:v>
      </x:c>
      <x:c r="O407" s="101" t="str">
        <x:f>IF(M407,C407,"")</x:f>
      </x:c>
      <x:c r="P407" s="98" t="str">
        <x:f>IF(N407="DRAFT INCLUDE",ROUNDUP(COUNTIF($N$6:N407,"DRAFT INCLUDE")/'Decision Summary'!$B$12,0),"")</x:f>
      </x:c>
      <x:c r="Q407" s="98" t="str">
        <x:f>IF(N407="DRAFT INCLUDE",MOD(COUNTIF($N$6:N407,"DRAFT INCLUDE")-1,'Decision Summary'!$B$12)+1,"")</x:f>
      </x:c>
      <x:c r="R407" s="98" t="str">
        <x:v>PENDING</x:v>
      </x:c>
      <x:c r="S407" s="98" t="str"/>
      <x:c r="T407" s="98" t="str">
        <x:v>Ordinary EOA candidate; inclusion still depends on V1 deprecation, threshold policy and owner approval.</x:v>
      </x:c>
      <x:c r="U407" s="89" t="str">
        <x:v>https://etherscan.io/token/0x445d03f499f1c150615957bb87588fb465fc91cc#balances</x:v>
      </x:c>
      <x:c r="V407" s="89" t="b">
        <x:f>COUNTIF($C$6:$C$502,C407)&gt;1</x:f>
        <x:v>0</x:v>
      </x:c>
    </x:row>
    <x:row r="408">
      <x:c r="A408" s="89" t="n">
        <x:v>403</x:v>
      </x:c>
      <x:c r="B408" s="89" t="str">
        <x:v>v1-mainnet-0403</x:v>
      </x:c>
      <x:c r="C408" s="90" t="str">
        <x:v>0x16bb994411d99d8578ce5fc7c7320cef37639543</x:v>
      </x:c>
      <x:c r="D408" s="98" t="str"/>
      <x:c r="E408" s="98" t="str">
        <x:v>EOA_CANDIDATE</x:v>
      </x:c>
      <x:c r="F408" s="91" t="b">
        <x:v>0</x:v>
      </x:c>
      <x:c r="G408" s="89" t="n">
        <x:v>0</x:v>
      </x:c>
      <x:c r="H408" s="90" t="str">
        <x:v>4434400000000</x:v>
      </x:c>
      <x:c r="I408" s="92" t="n">
        <x:v>4.4344</x:v>
      </x:c>
      <x:c r="J408" s="92" t="str">
        <x:v>4434400000000000000</x:v>
      </x:c>
      <x:c r="K408" s="92" t="n">
        <x:v>4.4344</x:v>
      </x:c>
      <x:c r="L408" s="98" t="str">
        <x:v>PENDING_OWNER_ELIGIBILITY_APPROVAL</x:v>
      </x:c>
      <x:c r="M408" s="98" t="b">
        <x:f>IF(E408="EOA_CANDIDATE",I408&gt;='Decision Summary'!$B$11,FALSE)</x:f>
        <x:v>0</x:v>
      </x:c>
      <x:c r="N408" s="98" t="str">
        <x:f>IF(M408,"DRAFT INCLUDE","HOLD / EXCLUDE")</x:f>
        <x:v>HOLD / EXCLUDE</x:v>
      </x:c>
      <x:c r="O408" s="101" t="str">
        <x:f>IF(M408,C408,"")</x:f>
      </x:c>
      <x:c r="P408" s="98" t="str">
        <x:f>IF(N408="DRAFT INCLUDE",ROUNDUP(COUNTIF($N$6:N408,"DRAFT INCLUDE")/'Decision Summary'!$B$12,0),"")</x:f>
      </x:c>
      <x:c r="Q408" s="98" t="str">
        <x:f>IF(N408="DRAFT INCLUDE",MOD(COUNTIF($N$6:N408,"DRAFT INCLUDE")-1,'Decision Summary'!$B$12)+1,"")</x:f>
      </x:c>
      <x:c r="R408" s="98" t="str">
        <x:v>PENDING</x:v>
      </x:c>
      <x:c r="S408" s="98" t="str"/>
      <x:c r="T408" s="98" t="str">
        <x:v>Ordinary EOA candidate; inclusion still depends on V1 deprecation, threshold policy and owner approval.</x:v>
      </x:c>
      <x:c r="U408" s="89" t="str">
        <x:v>https://etherscan.io/token/0x445d03f499f1c150615957bb87588fb465fc91cc#balances</x:v>
      </x:c>
      <x:c r="V408" s="89" t="b">
        <x:f>COUNTIF($C$6:$C$502,C408)&gt;1</x:f>
        <x:v>0</x:v>
      </x:c>
    </x:row>
    <x:row r="409">
      <x:c r="A409" s="89" t="n">
        <x:v>404</x:v>
      </x:c>
      <x:c r="B409" s="89" t="str">
        <x:v>v1-mainnet-0404</x:v>
      </x:c>
      <x:c r="C409" s="90" t="str">
        <x:v>0xe7f0bc0f9788f98543ba2c228b851d4efaad904f</x:v>
      </x:c>
      <x:c r="D409" s="98" t="str"/>
      <x:c r="E409" s="98" t="str">
        <x:v>EOA_CANDIDATE</x:v>
      </x:c>
      <x:c r="F409" s="91" t="b">
        <x:v>0</x:v>
      </x:c>
      <x:c r="G409" s="89" t="n">
        <x:v>0</x:v>
      </x:c>
      <x:c r="H409" s="90" t="str">
        <x:v>4430200000000</x:v>
      </x:c>
      <x:c r="I409" s="92" t="n">
        <x:v>4.4302</x:v>
      </x:c>
      <x:c r="J409" s="92" t="str">
        <x:v>4430200000000000000</x:v>
      </x:c>
      <x:c r="K409" s="92" t="n">
        <x:v>4.4302</x:v>
      </x:c>
      <x:c r="L409" s="98" t="str">
        <x:v>PENDING_OWNER_ELIGIBILITY_APPROVAL</x:v>
      </x:c>
      <x:c r="M409" s="98" t="b">
        <x:f>IF(E409="EOA_CANDIDATE",I409&gt;='Decision Summary'!$B$11,FALSE)</x:f>
        <x:v>0</x:v>
      </x:c>
      <x:c r="N409" s="98" t="str">
        <x:f>IF(M409,"DRAFT INCLUDE","HOLD / EXCLUDE")</x:f>
        <x:v>HOLD / EXCLUDE</x:v>
      </x:c>
      <x:c r="O409" s="101" t="str">
        <x:f>IF(M409,C409,"")</x:f>
      </x:c>
      <x:c r="P409" s="98" t="str">
        <x:f>IF(N409="DRAFT INCLUDE",ROUNDUP(COUNTIF($N$6:N409,"DRAFT INCLUDE")/'Decision Summary'!$B$12,0),"")</x:f>
      </x:c>
      <x:c r="Q409" s="98" t="str">
        <x:f>IF(N409="DRAFT INCLUDE",MOD(COUNTIF($N$6:N409,"DRAFT INCLUDE")-1,'Decision Summary'!$B$12)+1,"")</x:f>
      </x:c>
      <x:c r="R409" s="98" t="str">
        <x:v>PENDING</x:v>
      </x:c>
      <x:c r="S409" s="98" t="str"/>
      <x:c r="T409" s="98" t="str">
        <x:v>Ordinary EOA candidate; inclusion still depends on V1 deprecation, threshold policy and owner approval.</x:v>
      </x:c>
      <x:c r="U409" s="89" t="str">
        <x:v>https://etherscan.io/token/0x445d03f499f1c150615957bb87588fb465fc91cc#balances</x:v>
      </x:c>
      <x:c r="V409" s="89" t="b">
        <x:f>COUNTIF($C$6:$C$502,C409)&gt;1</x:f>
        <x:v>0</x:v>
      </x:c>
    </x:row>
    <x:row r="410">
      <x:c r="A410" s="89" t="n">
        <x:v>405</x:v>
      </x:c>
      <x:c r="B410" s="89" t="str">
        <x:v>v1-mainnet-0405</x:v>
      </x:c>
      <x:c r="C410" s="90" t="str">
        <x:v>0x6759e50d1d5b8613d51d87a92c2e806c762498c2</x:v>
      </x:c>
      <x:c r="D410" s="98" t="str"/>
      <x:c r="E410" s="98" t="str">
        <x:v>EOA_CANDIDATE</x:v>
      </x:c>
      <x:c r="F410" s="91" t="b">
        <x:v>0</x:v>
      </x:c>
      <x:c r="G410" s="89" t="n">
        <x:v>0</x:v>
      </x:c>
      <x:c r="H410" s="90" t="str">
        <x:v>4407100000000</x:v>
      </x:c>
      <x:c r="I410" s="92" t="n">
        <x:v>4.4071</x:v>
      </x:c>
      <x:c r="J410" s="92" t="str">
        <x:v>4407100000000000000</x:v>
      </x:c>
      <x:c r="K410" s="92" t="n">
        <x:v>4.4071</x:v>
      </x:c>
      <x:c r="L410" s="98" t="str">
        <x:v>PENDING_OWNER_ELIGIBILITY_APPROVAL</x:v>
      </x:c>
      <x:c r="M410" s="98" t="b">
        <x:f>IF(E410="EOA_CANDIDATE",I410&gt;='Decision Summary'!$B$11,FALSE)</x:f>
        <x:v>0</x:v>
      </x:c>
      <x:c r="N410" s="98" t="str">
        <x:f>IF(M410,"DRAFT INCLUDE","HOLD / EXCLUDE")</x:f>
        <x:v>HOLD / EXCLUDE</x:v>
      </x:c>
      <x:c r="O410" s="101" t="str">
        <x:f>IF(M410,C410,"")</x:f>
      </x:c>
      <x:c r="P410" s="98" t="str">
        <x:f>IF(N410="DRAFT INCLUDE",ROUNDUP(COUNTIF($N$6:N410,"DRAFT INCLUDE")/'Decision Summary'!$B$12,0),"")</x:f>
      </x:c>
      <x:c r="Q410" s="98" t="str">
        <x:f>IF(N410="DRAFT INCLUDE",MOD(COUNTIF($N$6:N410,"DRAFT INCLUDE")-1,'Decision Summary'!$B$12)+1,"")</x:f>
      </x:c>
      <x:c r="R410" s="98" t="str">
        <x:v>PENDING</x:v>
      </x:c>
      <x:c r="S410" s="98" t="str"/>
      <x:c r="T410" s="98" t="str">
        <x:v>Ordinary EOA candidate; inclusion still depends on V1 deprecation, threshold policy and owner approval.</x:v>
      </x:c>
      <x:c r="U410" s="89" t="str">
        <x:v>https://etherscan.io/token/0x445d03f499f1c150615957bb87588fb465fc91cc#balances</x:v>
      </x:c>
      <x:c r="V410" s="89" t="b">
        <x:f>COUNTIF($C$6:$C$502,C410)&gt;1</x:f>
        <x:v>0</x:v>
      </x:c>
    </x:row>
    <x:row r="411">
      <x:c r="A411" s="89" t="n">
        <x:v>406</x:v>
      </x:c>
      <x:c r="B411" s="89" t="str">
        <x:v>v1-mainnet-0406</x:v>
      </x:c>
      <x:c r="C411" s="90" t="str">
        <x:v>0x8de612d330a0c5161fdc7696216599708c3ac4d6</x:v>
      </x:c>
      <x:c r="D411" s="98" t="str"/>
      <x:c r="E411" s="98" t="str">
        <x:v>EOA_CANDIDATE</x:v>
      </x:c>
      <x:c r="F411" s="91" t="b">
        <x:v>0</x:v>
      </x:c>
      <x:c r="G411" s="89" t="n">
        <x:v>0</x:v>
      </x:c>
      <x:c r="H411" s="90" t="str">
        <x:v>4367400000000</x:v>
      </x:c>
      <x:c r="I411" s="92" t="n">
        <x:v>4.3674</x:v>
      </x:c>
      <x:c r="J411" s="92" t="str">
        <x:v>4367400000000000000</x:v>
      </x:c>
      <x:c r="K411" s="92" t="n">
        <x:v>4.3674</x:v>
      </x:c>
      <x:c r="L411" s="98" t="str">
        <x:v>PENDING_OWNER_ELIGIBILITY_APPROVAL</x:v>
      </x:c>
      <x:c r="M411" s="98" t="b">
        <x:f>IF(E411="EOA_CANDIDATE",I411&gt;='Decision Summary'!$B$11,FALSE)</x:f>
        <x:v>0</x:v>
      </x:c>
      <x:c r="N411" s="98" t="str">
        <x:f>IF(M411,"DRAFT INCLUDE","HOLD / EXCLUDE")</x:f>
        <x:v>HOLD / EXCLUDE</x:v>
      </x:c>
      <x:c r="O411" s="101" t="str">
        <x:f>IF(M411,C411,"")</x:f>
      </x:c>
      <x:c r="P411" s="98" t="str">
        <x:f>IF(N411="DRAFT INCLUDE",ROUNDUP(COUNTIF($N$6:N411,"DRAFT INCLUDE")/'Decision Summary'!$B$12,0),"")</x:f>
      </x:c>
      <x:c r="Q411" s="98" t="str">
        <x:f>IF(N411="DRAFT INCLUDE",MOD(COUNTIF($N$6:N411,"DRAFT INCLUDE")-1,'Decision Summary'!$B$12)+1,"")</x:f>
      </x:c>
      <x:c r="R411" s="98" t="str">
        <x:v>PENDING</x:v>
      </x:c>
      <x:c r="S411" s="98" t="str"/>
      <x:c r="T411" s="98" t="str">
        <x:v>Ordinary EOA candidate; inclusion still depends on V1 deprecation, threshold policy and owner approval.</x:v>
      </x:c>
      <x:c r="U411" s="89" t="str">
        <x:v>https://etherscan.io/token/0x445d03f499f1c150615957bb87588fb465fc91cc#balances</x:v>
      </x:c>
      <x:c r="V411" s="89" t="b">
        <x:f>COUNTIF($C$6:$C$502,C411)&gt;1</x:f>
        <x:v>0</x:v>
      </x:c>
    </x:row>
    <x:row r="412">
      <x:c r="A412" s="89" t="n">
        <x:v>407</x:v>
      </x:c>
      <x:c r="B412" s="89" t="str">
        <x:v>v1-mainnet-0407</x:v>
      </x:c>
      <x:c r="C412" s="90" t="str">
        <x:v>0x290c07d488616aca65e4d40a1195441b8313699e</x:v>
      </x:c>
      <x:c r="D412" s="98" t="str"/>
      <x:c r="E412" s="98" t="str">
        <x:v>EOA_CANDIDATE</x:v>
      </x:c>
      <x:c r="F412" s="91" t="b">
        <x:v>0</x:v>
      </x:c>
      <x:c r="G412" s="89" t="n">
        <x:v>0</x:v>
      </x:c>
      <x:c r="H412" s="90" t="str">
        <x:v>4325000000000</x:v>
      </x:c>
      <x:c r="I412" s="92" t="n">
        <x:v>4.325</x:v>
      </x:c>
      <x:c r="J412" s="92" t="str">
        <x:v>4325000000000000000</x:v>
      </x:c>
      <x:c r="K412" s="92" t="n">
        <x:v>4.325</x:v>
      </x:c>
      <x:c r="L412" s="98" t="str">
        <x:v>PENDING_OWNER_ELIGIBILITY_APPROVAL</x:v>
      </x:c>
      <x:c r="M412" s="98" t="b">
        <x:f>IF(E412="EOA_CANDIDATE",I412&gt;='Decision Summary'!$B$11,FALSE)</x:f>
        <x:v>0</x:v>
      </x:c>
      <x:c r="N412" s="98" t="str">
        <x:f>IF(M412,"DRAFT INCLUDE","HOLD / EXCLUDE")</x:f>
        <x:v>HOLD / EXCLUDE</x:v>
      </x:c>
      <x:c r="O412" s="101" t="str">
        <x:f>IF(M412,C412,"")</x:f>
      </x:c>
      <x:c r="P412" s="98" t="str">
        <x:f>IF(N412="DRAFT INCLUDE",ROUNDUP(COUNTIF($N$6:N412,"DRAFT INCLUDE")/'Decision Summary'!$B$12,0),"")</x:f>
      </x:c>
      <x:c r="Q412" s="98" t="str">
        <x:f>IF(N412="DRAFT INCLUDE",MOD(COUNTIF($N$6:N412,"DRAFT INCLUDE")-1,'Decision Summary'!$B$12)+1,"")</x:f>
      </x:c>
      <x:c r="R412" s="98" t="str">
        <x:v>PENDING</x:v>
      </x:c>
      <x:c r="S412" s="98" t="str"/>
      <x:c r="T412" s="98" t="str">
        <x:v>Ordinary EOA candidate; inclusion still depends on V1 deprecation, threshold policy and owner approval.</x:v>
      </x:c>
      <x:c r="U412" s="89" t="str">
        <x:v>https://etherscan.io/token/0x445d03f499f1c150615957bb87588fb465fc91cc#balances</x:v>
      </x:c>
      <x:c r="V412" s="89" t="b">
        <x:f>COUNTIF($C$6:$C$502,C412)&gt;1</x:f>
        <x:v>0</x:v>
      </x:c>
    </x:row>
    <x:row r="413">
      <x:c r="A413" s="89" t="n">
        <x:v>408</x:v>
      </x:c>
      <x:c r="B413" s="89" t="str">
        <x:v>v1-mainnet-0408</x:v>
      </x:c>
      <x:c r="C413" s="90" t="str">
        <x:v>0x7dec216f7ea777f38c61c5ae3d60213f33b207ce</x:v>
      </x:c>
      <x:c r="D413" s="98" t="str"/>
      <x:c r="E413" s="98" t="str">
        <x:v>EOA_CANDIDATE</x:v>
      </x:c>
      <x:c r="F413" s="91" t="b">
        <x:v>0</x:v>
      </x:c>
      <x:c r="G413" s="89" t="n">
        <x:v>0</x:v>
      </x:c>
      <x:c r="H413" s="90" t="str">
        <x:v>4317900000000</x:v>
      </x:c>
      <x:c r="I413" s="92" t="n">
        <x:v>4.3179</x:v>
      </x:c>
      <x:c r="J413" s="92" t="str">
        <x:v>4317900000000000000</x:v>
      </x:c>
      <x:c r="K413" s="92" t="n">
        <x:v>4.3179</x:v>
      </x:c>
      <x:c r="L413" s="98" t="str">
        <x:v>PENDING_OWNER_ELIGIBILITY_APPROVAL</x:v>
      </x:c>
      <x:c r="M413" s="98" t="b">
        <x:f>IF(E413="EOA_CANDIDATE",I413&gt;='Decision Summary'!$B$11,FALSE)</x:f>
        <x:v>0</x:v>
      </x:c>
      <x:c r="N413" s="98" t="str">
        <x:f>IF(M413,"DRAFT INCLUDE","HOLD / EXCLUDE")</x:f>
        <x:v>HOLD / EXCLUDE</x:v>
      </x:c>
      <x:c r="O413" s="101" t="str">
        <x:f>IF(M413,C413,"")</x:f>
      </x:c>
      <x:c r="P413" s="98" t="str">
        <x:f>IF(N413="DRAFT INCLUDE",ROUNDUP(COUNTIF($N$6:N413,"DRAFT INCLUDE")/'Decision Summary'!$B$12,0),"")</x:f>
      </x:c>
      <x:c r="Q413" s="98" t="str">
        <x:f>IF(N413="DRAFT INCLUDE",MOD(COUNTIF($N$6:N413,"DRAFT INCLUDE")-1,'Decision Summary'!$B$12)+1,"")</x:f>
      </x:c>
      <x:c r="R413" s="98" t="str">
        <x:v>PENDING</x:v>
      </x:c>
      <x:c r="S413" s="98" t="str"/>
      <x:c r="T413" s="98" t="str">
        <x:v>Ordinary EOA candidate; inclusion still depends on V1 deprecation, threshold policy and owner approval.</x:v>
      </x:c>
      <x:c r="U413" s="89" t="str">
        <x:v>https://etherscan.io/token/0x445d03f499f1c150615957bb87588fb465fc91cc#balances</x:v>
      </x:c>
      <x:c r="V413" s="89" t="b">
        <x:f>COUNTIF($C$6:$C$502,C413)&gt;1</x:f>
        <x:v>0</x:v>
      </x:c>
    </x:row>
    <x:row r="414">
      <x:c r="A414" s="89" t="n">
        <x:v>409</x:v>
      </x:c>
      <x:c r="B414" s="89" t="str">
        <x:v>v1-mainnet-0409</x:v>
      </x:c>
      <x:c r="C414" s="90" t="str">
        <x:v>0x58a8872b8280f5762dce158244f5afae955fddc9</x:v>
      </x:c>
      <x:c r="D414" s="98" t="str"/>
      <x:c r="E414" s="98" t="str">
        <x:v>EOA_CANDIDATE</x:v>
      </x:c>
      <x:c r="F414" s="91" t="b">
        <x:v>0</x:v>
      </x:c>
      <x:c r="G414" s="89" t="n">
        <x:v>0</x:v>
      </x:c>
      <x:c r="H414" s="90" t="str">
        <x:v>4308800000000</x:v>
      </x:c>
      <x:c r="I414" s="92" t="n">
        <x:v>4.3088</x:v>
      </x:c>
      <x:c r="J414" s="92" t="str">
        <x:v>4308800000000000000</x:v>
      </x:c>
      <x:c r="K414" s="92" t="n">
        <x:v>4.3088</x:v>
      </x:c>
      <x:c r="L414" s="98" t="str">
        <x:v>PENDING_OWNER_ELIGIBILITY_APPROVAL</x:v>
      </x:c>
      <x:c r="M414" s="98" t="b">
        <x:f>IF(E414="EOA_CANDIDATE",I414&gt;='Decision Summary'!$B$11,FALSE)</x:f>
        <x:v>0</x:v>
      </x:c>
      <x:c r="N414" s="98" t="str">
        <x:f>IF(M414,"DRAFT INCLUDE","HOLD / EXCLUDE")</x:f>
        <x:v>HOLD / EXCLUDE</x:v>
      </x:c>
      <x:c r="O414" s="101" t="str">
        <x:f>IF(M414,C414,"")</x:f>
      </x:c>
      <x:c r="P414" s="98" t="str">
        <x:f>IF(N414="DRAFT INCLUDE",ROUNDUP(COUNTIF($N$6:N414,"DRAFT INCLUDE")/'Decision Summary'!$B$12,0),"")</x:f>
      </x:c>
      <x:c r="Q414" s="98" t="str">
        <x:f>IF(N414="DRAFT INCLUDE",MOD(COUNTIF($N$6:N414,"DRAFT INCLUDE")-1,'Decision Summary'!$B$12)+1,"")</x:f>
      </x:c>
      <x:c r="R414" s="98" t="str">
        <x:v>PENDING</x:v>
      </x:c>
      <x:c r="S414" s="98" t="str"/>
      <x:c r="T414" s="98" t="str">
        <x:v>Ordinary EOA candidate; inclusion still depends on V1 deprecation, threshold policy and owner approval.</x:v>
      </x:c>
      <x:c r="U414" s="89" t="str">
        <x:v>https://etherscan.io/token/0x445d03f499f1c150615957bb87588fb465fc91cc#balances</x:v>
      </x:c>
      <x:c r="V414" s="89" t="b">
        <x:f>COUNTIF($C$6:$C$502,C414)&gt;1</x:f>
        <x:v>0</x:v>
      </x:c>
    </x:row>
    <x:row r="415">
      <x:c r="A415" s="89" t="n">
        <x:v>410</x:v>
      </x:c>
      <x:c r="B415" s="89" t="str">
        <x:v>v1-mainnet-0410</x:v>
      </x:c>
      <x:c r="C415" s="90" t="str">
        <x:v>0x96821360f6813326b39a56b988bab60ed7e2cfee</x:v>
      </x:c>
      <x:c r="D415" s="98" t="str"/>
      <x:c r="E415" s="98" t="str">
        <x:v>EOA_CANDIDATE</x:v>
      </x:c>
      <x:c r="F415" s="91" t="b">
        <x:v>0</x:v>
      </x:c>
      <x:c r="G415" s="89" t="n">
        <x:v>0</x:v>
      </x:c>
      <x:c r="H415" s="90" t="str">
        <x:v>4300000000000</x:v>
      </x:c>
      <x:c r="I415" s="92" t="n">
        <x:v>4.3</x:v>
      </x:c>
      <x:c r="J415" s="92" t="str">
        <x:v>4300000000000000000</x:v>
      </x:c>
      <x:c r="K415" s="92" t="n">
        <x:v>4.3</x:v>
      </x:c>
      <x:c r="L415" s="98" t="str">
        <x:v>PENDING_OWNER_ELIGIBILITY_APPROVAL</x:v>
      </x:c>
      <x:c r="M415" s="98" t="b">
        <x:f>IF(E415="EOA_CANDIDATE",I415&gt;='Decision Summary'!$B$11,FALSE)</x:f>
        <x:v>0</x:v>
      </x:c>
      <x:c r="N415" s="98" t="str">
        <x:f>IF(M415,"DRAFT INCLUDE","HOLD / EXCLUDE")</x:f>
        <x:v>HOLD / EXCLUDE</x:v>
      </x:c>
      <x:c r="O415" s="101" t="str">
        <x:f>IF(M415,C415,"")</x:f>
      </x:c>
      <x:c r="P415" s="98" t="str">
        <x:f>IF(N415="DRAFT INCLUDE",ROUNDUP(COUNTIF($N$6:N415,"DRAFT INCLUDE")/'Decision Summary'!$B$12,0),"")</x:f>
      </x:c>
      <x:c r="Q415" s="98" t="str">
        <x:f>IF(N415="DRAFT INCLUDE",MOD(COUNTIF($N$6:N415,"DRAFT INCLUDE")-1,'Decision Summary'!$B$12)+1,"")</x:f>
      </x:c>
      <x:c r="R415" s="98" t="str">
        <x:v>PENDING</x:v>
      </x:c>
      <x:c r="S415" s="98" t="str"/>
      <x:c r="T415" s="98" t="str">
        <x:v>Ordinary EOA candidate; inclusion still depends on V1 deprecation, threshold policy and owner approval.</x:v>
      </x:c>
      <x:c r="U415" s="89" t="str">
        <x:v>https://etherscan.io/token/0x445d03f499f1c150615957bb87588fb465fc91cc#balances</x:v>
      </x:c>
      <x:c r="V415" s="89" t="b">
        <x:f>COUNTIF($C$6:$C$502,C415)&gt;1</x:f>
        <x:v>0</x:v>
      </x:c>
    </x:row>
    <x:row r="416">
      <x:c r="A416" s="89" t="n">
        <x:v>411</x:v>
      </x:c>
      <x:c r="B416" s="89" t="str">
        <x:v>v1-mainnet-0411</x:v>
      </x:c>
      <x:c r="C416" s="90" t="str">
        <x:v>0x8e903e46e071486b8e8031068cd139f1304c08ac</x:v>
      </x:c>
      <x:c r="D416" s="98" t="str"/>
      <x:c r="E416" s="98" t="str">
        <x:v>EOA_CANDIDATE</x:v>
      </x:c>
      <x:c r="F416" s="91" t="b">
        <x:v>0</x:v>
      </x:c>
      <x:c r="G416" s="89" t="n">
        <x:v>0</x:v>
      </x:c>
      <x:c r="H416" s="90" t="str">
        <x:v>4288700000000</x:v>
      </x:c>
      <x:c r="I416" s="92" t="n">
        <x:v>4.2887</x:v>
      </x:c>
      <x:c r="J416" s="92" t="str">
        <x:v>4288700000000000000</x:v>
      </x:c>
      <x:c r="K416" s="92" t="n">
        <x:v>4.2887</x:v>
      </x:c>
      <x:c r="L416" s="98" t="str">
        <x:v>PENDING_OWNER_ELIGIBILITY_APPROVAL</x:v>
      </x:c>
      <x:c r="M416" s="98" t="b">
        <x:f>IF(E416="EOA_CANDIDATE",I416&gt;='Decision Summary'!$B$11,FALSE)</x:f>
        <x:v>0</x:v>
      </x:c>
      <x:c r="N416" s="98" t="str">
        <x:f>IF(M416,"DRAFT INCLUDE","HOLD / EXCLUDE")</x:f>
        <x:v>HOLD / EXCLUDE</x:v>
      </x:c>
      <x:c r="O416" s="101" t="str">
        <x:f>IF(M416,C416,"")</x:f>
      </x:c>
      <x:c r="P416" s="98" t="str">
        <x:f>IF(N416="DRAFT INCLUDE",ROUNDUP(COUNTIF($N$6:N416,"DRAFT INCLUDE")/'Decision Summary'!$B$12,0),"")</x:f>
      </x:c>
      <x:c r="Q416" s="98" t="str">
        <x:f>IF(N416="DRAFT INCLUDE",MOD(COUNTIF($N$6:N416,"DRAFT INCLUDE")-1,'Decision Summary'!$B$12)+1,"")</x:f>
      </x:c>
      <x:c r="R416" s="98" t="str">
        <x:v>PENDING</x:v>
      </x:c>
      <x:c r="S416" s="98" t="str"/>
      <x:c r="T416" s="98" t="str">
        <x:v>Ordinary EOA candidate; inclusion still depends on V1 deprecation, threshold policy and owner approval.</x:v>
      </x:c>
      <x:c r="U416" s="89" t="str">
        <x:v>https://etherscan.io/token/0x445d03f499f1c150615957bb87588fb465fc91cc#balances</x:v>
      </x:c>
      <x:c r="V416" s="89" t="b">
        <x:f>COUNTIF($C$6:$C$502,C416)&gt;1</x:f>
        <x:v>0</x:v>
      </x:c>
    </x:row>
    <x:row r="417">
      <x:c r="A417" s="89" t="n">
        <x:v>412</x:v>
      </x:c>
      <x:c r="B417" s="89" t="str">
        <x:v>v1-mainnet-0412</x:v>
      </x:c>
      <x:c r="C417" s="90" t="str">
        <x:v>0xe0cec88e81f5475557c3a87f6d5ed0d73a12ce2f</x:v>
      </x:c>
      <x:c r="D417" s="98" t="str"/>
      <x:c r="E417" s="98" t="str">
        <x:v>EOA_CANDIDATE</x:v>
      </x:c>
      <x:c r="F417" s="91" t="b">
        <x:v>0</x:v>
      </x:c>
      <x:c r="G417" s="89" t="n">
        <x:v>0</x:v>
      </x:c>
      <x:c r="H417" s="90" t="str">
        <x:v>4258200000000</x:v>
      </x:c>
      <x:c r="I417" s="92" t="n">
        <x:v>4.2582</x:v>
      </x:c>
      <x:c r="J417" s="92" t="str">
        <x:v>4258200000000000000</x:v>
      </x:c>
      <x:c r="K417" s="92" t="n">
        <x:v>4.2582</x:v>
      </x:c>
      <x:c r="L417" s="98" t="str">
        <x:v>PENDING_OWNER_ELIGIBILITY_APPROVAL</x:v>
      </x:c>
      <x:c r="M417" s="98" t="b">
        <x:f>IF(E417="EOA_CANDIDATE",I417&gt;='Decision Summary'!$B$11,FALSE)</x:f>
        <x:v>0</x:v>
      </x:c>
      <x:c r="N417" s="98" t="str">
        <x:f>IF(M417,"DRAFT INCLUDE","HOLD / EXCLUDE")</x:f>
        <x:v>HOLD / EXCLUDE</x:v>
      </x:c>
      <x:c r="O417" s="101" t="str">
        <x:f>IF(M417,C417,"")</x:f>
      </x:c>
      <x:c r="P417" s="98" t="str">
        <x:f>IF(N417="DRAFT INCLUDE",ROUNDUP(COUNTIF($N$6:N417,"DRAFT INCLUDE")/'Decision Summary'!$B$12,0),"")</x:f>
      </x:c>
      <x:c r="Q417" s="98" t="str">
        <x:f>IF(N417="DRAFT INCLUDE",MOD(COUNTIF($N$6:N417,"DRAFT INCLUDE")-1,'Decision Summary'!$B$12)+1,"")</x:f>
      </x:c>
      <x:c r="R417" s="98" t="str">
        <x:v>PENDING</x:v>
      </x:c>
      <x:c r="S417" s="98" t="str"/>
      <x:c r="T417" s="98" t="str">
        <x:v>Ordinary EOA candidate; inclusion still depends on V1 deprecation, threshold policy and owner approval.</x:v>
      </x:c>
      <x:c r="U417" s="89" t="str">
        <x:v>https://etherscan.io/token/0x445d03f499f1c150615957bb87588fb465fc91cc#balances</x:v>
      </x:c>
      <x:c r="V417" s="89" t="b">
        <x:f>COUNTIF($C$6:$C$502,C417)&gt;1</x:f>
        <x:v>0</x:v>
      </x:c>
    </x:row>
    <x:row r="418">
      <x:c r="A418" s="89" t="n">
        <x:v>413</x:v>
      </x:c>
      <x:c r="B418" s="89" t="str">
        <x:v>v1-mainnet-0413</x:v>
      </x:c>
      <x:c r="C418" s="90" t="str">
        <x:v>0x4ab37b375a06182e82cef55d001cc355d3eb0924</x:v>
      </x:c>
      <x:c r="D418" s="98" t="str"/>
      <x:c r="E418" s="98" t="str">
        <x:v>EOA_CANDIDATE</x:v>
      </x:c>
      <x:c r="F418" s="91" t="b">
        <x:v>0</x:v>
      </x:c>
      <x:c r="G418" s="89" t="n">
        <x:v>0</x:v>
      </x:c>
      <x:c r="H418" s="90" t="str">
        <x:v>4250900000000</x:v>
      </x:c>
      <x:c r="I418" s="92" t="n">
        <x:v>4.2509</x:v>
      </x:c>
      <x:c r="J418" s="92" t="str">
        <x:v>4250900000000000000</x:v>
      </x:c>
      <x:c r="K418" s="92" t="n">
        <x:v>4.2509</x:v>
      </x:c>
      <x:c r="L418" s="98" t="str">
        <x:v>PENDING_OWNER_ELIGIBILITY_APPROVAL</x:v>
      </x:c>
      <x:c r="M418" s="98" t="b">
        <x:f>IF(E418="EOA_CANDIDATE",I418&gt;='Decision Summary'!$B$11,FALSE)</x:f>
        <x:v>0</x:v>
      </x:c>
      <x:c r="N418" s="98" t="str">
        <x:f>IF(M418,"DRAFT INCLUDE","HOLD / EXCLUDE")</x:f>
        <x:v>HOLD / EXCLUDE</x:v>
      </x:c>
      <x:c r="O418" s="101" t="str">
        <x:f>IF(M418,C418,"")</x:f>
      </x:c>
      <x:c r="P418" s="98" t="str">
        <x:f>IF(N418="DRAFT INCLUDE",ROUNDUP(COUNTIF($N$6:N418,"DRAFT INCLUDE")/'Decision Summary'!$B$12,0),"")</x:f>
      </x:c>
      <x:c r="Q418" s="98" t="str">
        <x:f>IF(N418="DRAFT INCLUDE",MOD(COUNTIF($N$6:N418,"DRAFT INCLUDE")-1,'Decision Summary'!$B$12)+1,"")</x:f>
      </x:c>
      <x:c r="R418" s="98" t="str">
        <x:v>PENDING</x:v>
      </x:c>
      <x:c r="S418" s="98" t="str"/>
      <x:c r="T418" s="98" t="str">
        <x:v>Ordinary EOA candidate; inclusion still depends on V1 deprecation, threshold policy and owner approval.</x:v>
      </x:c>
      <x:c r="U418" s="89" t="str">
        <x:v>https://etherscan.io/token/0x445d03f499f1c150615957bb87588fb465fc91cc#balances</x:v>
      </x:c>
      <x:c r="V418" s="89" t="b">
        <x:f>COUNTIF($C$6:$C$502,C418)&gt;1</x:f>
        <x:v>0</x:v>
      </x:c>
    </x:row>
    <x:row r="419">
      <x:c r="A419" s="89" t="n">
        <x:v>414</x:v>
      </x:c>
      <x:c r="B419" s="89" t="str">
        <x:v>v1-mainnet-0414</x:v>
      </x:c>
      <x:c r="C419" s="90" t="str">
        <x:v>0x401e14854700f81cdc8539661872935337ab2ad1</x:v>
      </x:c>
      <x:c r="D419" s="98" t="str"/>
      <x:c r="E419" s="98" t="str">
        <x:v>EOA_CANDIDATE</x:v>
      </x:c>
      <x:c r="F419" s="91" t="b">
        <x:v>0</x:v>
      </x:c>
      <x:c r="G419" s="89" t="n">
        <x:v>0</x:v>
      </x:c>
      <x:c r="H419" s="90" t="str">
        <x:v>4246800000000</x:v>
      </x:c>
      <x:c r="I419" s="92" t="n">
        <x:v>4.2468</x:v>
      </x:c>
      <x:c r="J419" s="92" t="str">
        <x:v>4246800000000000000</x:v>
      </x:c>
      <x:c r="K419" s="92" t="n">
        <x:v>4.2468</x:v>
      </x:c>
      <x:c r="L419" s="98" t="str">
        <x:v>PENDING_OWNER_ELIGIBILITY_APPROVAL</x:v>
      </x:c>
      <x:c r="M419" s="98" t="b">
        <x:f>IF(E419="EOA_CANDIDATE",I419&gt;='Decision Summary'!$B$11,FALSE)</x:f>
        <x:v>0</x:v>
      </x:c>
      <x:c r="N419" s="98" t="str">
        <x:f>IF(M419,"DRAFT INCLUDE","HOLD / EXCLUDE")</x:f>
        <x:v>HOLD / EXCLUDE</x:v>
      </x:c>
      <x:c r="O419" s="101" t="str">
        <x:f>IF(M419,C419,"")</x:f>
      </x:c>
      <x:c r="P419" s="98" t="str">
        <x:f>IF(N419="DRAFT INCLUDE",ROUNDUP(COUNTIF($N$6:N419,"DRAFT INCLUDE")/'Decision Summary'!$B$12,0),"")</x:f>
      </x:c>
      <x:c r="Q419" s="98" t="str">
        <x:f>IF(N419="DRAFT INCLUDE",MOD(COUNTIF($N$6:N419,"DRAFT INCLUDE")-1,'Decision Summary'!$B$12)+1,"")</x:f>
      </x:c>
      <x:c r="R419" s="98" t="str">
        <x:v>PENDING</x:v>
      </x:c>
      <x:c r="S419" s="98" t="str"/>
      <x:c r="T419" s="98" t="str">
        <x:v>Ordinary EOA candidate; inclusion still depends on V1 deprecation, threshold policy and owner approval.</x:v>
      </x:c>
      <x:c r="U419" s="89" t="str">
        <x:v>https://etherscan.io/token/0x445d03f499f1c150615957bb87588fb465fc91cc#balances</x:v>
      </x:c>
      <x:c r="V419" s="89" t="b">
        <x:f>COUNTIF($C$6:$C$502,C419)&gt;1</x:f>
        <x:v>0</x:v>
      </x:c>
    </x:row>
    <x:row r="420">
      <x:c r="A420" s="89" t="n">
        <x:v>415</x:v>
      </x:c>
      <x:c r="B420" s="89" t="str">
        <x:v>v1-mainnet-0415</x:v>
      </x:c>
      <x:c r="C420" s="90" t="str">
        <x:v>0x0248d48c0f0cc4683369c3edc224a7eb0125862d</x:v>
      </x:c>
      <x:c r="D420" s="98" t="str"/>
      <x:c r="E420" s="98" t="str">
        <x:v>EOA_CANDIDATE</x:v>
      </x:c>
      <x:c r="F420" s="91" t="b">
        <x:v>0</x:v>
      </x:c>
      <x:c r="G420" s="89" t="n">
        <x:v>0</x:v>
      </x:c>
      <x:c r="H420" s="90" t="str">
        <x:v>4218900000000</x:v>
      </x:c>
      <x:c r="I420" s="92" t="n">
        <x:v>4.2189</x:v>
      </x:c>
      <x:c r="J420" s="92" t="str">
        <x:v>4218900000000000000</x:v>
      </x:c>
      <x:c r="K420" s="92" t="n">
        <x:v>4.2189</x:v>
      </x:c>
      <x:c r="L420" s="98" t="str">
        <x:v>PENDING_OWNER_ELIGIBILITY_APPROVAL</x:v>
      </x:c>
      <x:c r="M420" s="98" t="b">
        <x:f>IF(E420="EOA_CANDIDATE",I420&gt;='Decision Summary'!$B$11,FALSE)</x:f>
        <x:v>0</x:v>
      </x:c>
      <x:c r="N420" s="98" t="str">
        <x:f>IF(M420,"DRAFT INCLUDE","HOLD / EXCLUDE")</x:f>
        <x:v>HOLD / EXCLUDE</x:v>
      </x:c>
      <x:c r="O420" s="101" t="str">
        <x:f>IF(M420,C420,"")</x:f>
      </x:c>
      <x:c r="P420" s="98" t="str">
        <x:f>IF(N420="DRAFT INCLUDE",ROUNDUP(COUNTIF($N$6:N420,"DRAFT INCLUDE")/'Decision Summary'!$B$12,0),"")</x:f>
      </x:c>
      <x:c r="Q420" s="98" t="str">
        <x:f>IF(N420="DRAFT INCLUDE",MOD(COUNTIF($N$6:N420,"DRAFT INCLUDE")-1,'Decision Summary'!$B$12)+1,"")</x:f>
      </x:c>
      <x:c r="R420" s="98" t="str">
        <x:v>PENDING</x:v>
      </x:c>
      <x:c r="S420" s="98" t="str"/>
      <x:c r="T420" s="98" t="str">
        <x:v>Ordinary EOA candidate; inclusion still depends on V1 deprecation, threshold policy and owner approval.</x:v>
      </x:c>
      <x:c r="U420" s="89" t="str">
        <x:v>https://etherscan.io/token/0x445d03f499f1c150615957bb87588fb465fc91cc#balances</x:v>
      </x:c>
      <x:c r="V420" s="89" t="b">
        <x:f>COUNTIF($C$6:$C$502,C420)&gt;1</x:f>
        <x:v>0</x:v>
      </x:c>
    </x:row>
    <x:row r="421">
      <x:c r="A421" s="89" t="n">
        <x:v>416</x:v>
      </x:c>
      <x:c r="B421" s="89" t="str">
        <x:v>v1-mainnet-0416</x:v>
      </x:c>
      <x:c r="C421" s="90" t="str">
        <x:v>0x5a0c114c46d4fb401c7f4de5a836992c910a5bda</x:v>
      </x:c>
      <x:c r="D421" s="98" t="str"/>
      <x:c r="E421" s="98" t="str">
        <x:v>EOA_CANDIDATE</x:v>
      </x:c>
      <x:c r="F421" s="91" t="b">
        <x:v>0</x:v>
      </x:c>
      <x:c r="G421" s="89" t="n">
        <x:v>0</x:v>
      </x:c>
      <x:c r="H421" s="90" t="str">
        <x:v>4204700000000</x:v>
      </x:c>
      <x:c r="I421" s="92" t="n">
        <x:v>4.2047</x:v>
      </x:c>
      <x:c r="J421" s="92" t="str">
        <x:v>4204700000000000000</x:v>
      </x:c>
      <x:c r="K421" s="92" t="n">
        <x:v>4.2047</x:v>
      </x:c>
      <x:c r="L421" s="98" t="str">
        <x:v>PENDING_OWNER_ELIGIBILITY_APPROVAL</x:v>
      </x:c>
      <x:c r="M421" s="98" t="b">
        <x:f>IF(E421="EOA_CANDIDATE",I421&gt;='Decision Summary'!$B$11,FALSE)</x:f>
        <x:v>0</x:v>
      </x:c>
      <x:c r="N421" s="98" t="str">
        <x:f>IF(M421,"DRAFT INCLUDE","HOLD / EXCLUDE")</x:f>
        <x:v>HOLD / EXCLUDE</x:v>
      </x:c>
      <x:c r="O421" s="101" t="str">
        <x:f>IF(M421,C421,"")</x:f>
      </x:c>
      <x:c r="P421" s="98" t="str">
        <x:f>IF(N421="DRAFT INCLUDE",ROUNDUP(COUNTIF($N$6:N421,"DRAFT INCLUDE")/'Decision Summary'!$B$12,0),"")</x:f>
      </x:c>
      <x:c r="Q421" s="98" t="str">
        <x:f>IF(N421="DRAFT INCLUDE",MOD(COUNTIF($N$6:N421,"DRAFT INCLUDE")-1,'Decision Summary'!$B$12)+1,"")</x:f>
      </x:c>
      <x:c r="R421" s="98" t="str">
        <x:v>PENDING</x:v>
      </x:c>
      <x:c r="S421" s="98" t="str"/>
      <x:c r="T421" s="98" t="str">
        <x:v>Ordinary EOA candidate; inclusion still depends on V1 deprecation, threshold policy and owner approval.</x:v>
      </x:c>
      <x:c r="U421" s="89" t="str">
        <x:v>https://etherscan.io/token/0x445d03f499f1c150615957bb87588fb465fc91cc#balances</x:v>
      </x:c>
      <x:c r="V421" s="89" t="b">
        <x:f>COUNTIF($C$6:$C$502,C421)&gt;1</x:f>
        <x:v>0</x:v>
      </x:c>
    </x:row>
    <x:row r="422">
      <x:c r="A422" s="89" t="n">
        <x:v>417</x:v>
      </x:c>
      <x:c r="B422" s="89" t="str">
        <x:v>v1-mainnet-0417</x:v>
      </x:c>
      <x:c r="C422" s="90" t="str">
        <x:v>0x86f9126543540376bc9a5c85df9fadccfeecf494</x:v>
      </x:c>
      <x:c r="D422" s="98" t="str"/>
      <x:c r="E422" s="98" t="str">
        <x:v>EOA_CANDIDATE</x:v>
      </x:c>
      <x:c r="F422" s="91" t="b">
        <x:v>0</x:v>
      </x:c>
      <x:c r="G422" s="89" t="n">
        <x:v>0</x:v>
      </x:c>
      <x:c r="H422" s="90" t="str">
        <x:v>4183300000000</x:v>
      </x:c>
      <x:c r="I422" s="92" t="n">
        <x:v>4.1833</x:v>
      </x:c>
      <x:c r="J422" s="92" t="str">
        <x:v>4183300000000000000</x:v>
      </x:c>
      <x:c r="K422" s="92" t="n">
        <x:v>4.1833</x:v>
      </x:c>
      <x:c r="L422" s="98" t="str">
        <x:v>PENDING_OWNER_ELIGIBILITY_APPROVAL</x:v>
      </x:c>
      <x:c r="M422" s="98" t="b">
        <x:f>IF(E422="EOA_CANDIDATE",I422&gt;='Decision Summary'!$B$11,FALSE)</x:f>
        <x:v>0</x:v>
      </x:c>
      <x:c r="N422" s="98" t="str">
        <x:f>IF(M422,"DRAFT INCLUDE","HOLD / EXCLUDE")</x:f>
        <x:v>HOLD / EXCLUDE</x:v>
      </x:c>
      <x:c r="O422" s="101" t="str">
        <x:f>IF(M422,C422,"")</x:f>
      </x:c>
      <x:c r="P422" s="98" t="str">
        <x:f>IF(N422="DRAFT INCLUDE",ROUNDUP(COUNTIF($N$6:N422,"DRAFT INCLUDE")/'Decision Summary'!$B$12,0),"")</x:f>
      </x:c>
      <x:c r="Q422" s="98" t="str">
        <x:f>IF(N422="DRAFT INCLUDE",MOD(COUNTIF($N$6:N422,"DRAFT INCLUDE")-1,'Decision Summary'!$B$12)+1,"")</x:f>
      </x:c>
      <x:c r="R422" s="98" t="str">
        <x:v>PENDING</x:v>
      </x:c>
      <x:c r="S422" s="98" t="str"/>
      <x:c r="T422" s="98" t="str">
        <x:v>Ordinary EOA candidate; inclusion still depends on V1 deprecation, threshold policy and owner approval.</x:v>
      </x:c>
      <x:c r="U422" s="89" t="str">
        <x:v>https://etherscan.io/token/0x445d03f499f1c150615957bb87588fb465fc91cc#balances</x:v>
      </x:c>
      <x:c r="V422" s="89" t="b">
        <x:f>COUNTIF($C$6:$C$502,C422)&gt;1</x:f>
        <x:v>0</x:v>
      </x:c>
    </x:row>
    <x:row r="423">
      <x:c r="A423" s="89" t="n">
        <x:v>418</x:v>
      </x:c>
      <x:c r="B423" s="89" t="str">
        <x:v>v1-mainnet-0418</x:v>
      </x:c>
      <x:c r="C423" s="90" t="str">
        <x:v>0x1598519ec31b4f766fb9b48b9bd3bf93f51a808c</x:v>
      </x:c>
      <x:c r="D423" s="98" t="str"/>
      <x:c r="E423" s="98" t="str">
        <x:v>EOA_CANDIDATE</x:v>
      </x:c>
      <x:c r="F423" s="91" t="b">
        <x:v>0</x:v>
      </x:c>
      <x:c r="G423" s="89" t="n">
        <x:v>0</x:v>
      </x:c>
      <x:c r="H423" s="90" t="str">
        <x:v>4159600000000</x:v>
      </x:c>
      <x:c r="I423" s="92" t="n">
        <x:v>4.1596</x:v>
      </x:c>
      <x:c r="J423" s="92" t="str">
        <x:v>4159600000000000000</x:v>
      </x:c>
      <x:c r="K423" s="92" t="n">
        <x:v>4.1596</x:v>
      </x:c>
      <x:c r="L423" s="98" t="str">
        <x:v>PENDING_OWNER_ELIGIBILITY_APPROVAL</x:v>
      </x:c>
      <x:c r="M423" s="98" t="b">
        <x:f>IF(E423="EOA_CANDIDATE",I423&gt;='Decision Summary'!$B$11,FALSE)</x:f>
        <x:v>0</x:v>
      </x:c>
      <x:c r="N423" s="98" t="str">
        <x:f>IF(M423,"DRAFT INCLUDE","HOLD / EXCLUDE")</x:f>
        <x:v>HOLD / EXCLUDE</x:v>
      </x:c>
      <x:c r="O423" s="101" t="str">
        <x:f>IF(M423,C423,"")</x:f>
      </x:c>
      <x:c r="P423" s="98" t="str">
        <x:f>IF(N423="DRAFT INCLUDE",ROUNDUP(COUNTIF($N$6:N423,"DRAFT INCLUDE")/'Decision Summary'!$B$12,0),"")</x:f>
      </x:c>
      <x:c r="Q423" s="98" t="str">
        <x:f>IF(N423="DRAFT INCLUDE",MOD(COUNTIF($N$6:N423,"DRAFT INCLUDE")-1,'Decision Summary'!$B$12)+1,"")</x:f>
      </x:c>
      <x:c r="R423" s="98" t="str">
        <x:v>PENDING</x:v>
      </x:c>
      <x:c r="S423" s="98" t="str"/>
      <x:c r="T423" s="98" t="str">
        <x:v>Ordinary EOA candidate; inclusion still depends on V1 deprecation, threshold policy and owner approval.</x:v>
      </x:c>
      <x:c r="U423" s="89" t="str">
        <x:v>https://etherscan.io/token/0x445d03f499f1c150615957bb87588fb465fc91cc#balances</x:v>
      </x:c>
      <x:c r="V423" s="89" t="b">
        <x:f>COUNTIF($C$6:$C$502,C423)&gt;1</x:f>
        <x:v>0</x:v>
      </x:c>
    </x:row>
    <x:row r="424">
      <x:c r="A424" s="89" t="n">
        <x:v>419</x:v>
      </x:c>
      <x:c r="B424" s="89" t="str">
        <x:v>v1-mainnet-0419</x:v>
      </x:c>
      <x:c r="C424" s="90" t="str">
        <x:v>0xa65a23ca3d22bf91166ad22aa80f58b40f9ad822</x:v>
      </x:c>
      <x:c r="D424" s="98" t="str"/>
      <x:c r="E424" s="98" t="str">
        <x:v>EOA_CANDIDATE</x:v>
      </x:c>
      <x:c r="F424" s="91" t="b">
        <x:v>0</x:v>
      </x:c>
      <x:c r="G424" s="89" t="n">
        <x:v>0</x:v>
      </x:c>
      <x:c r="H424" s="90" t="str">
        <x:v>4132700000000</x:v>
      </x:c>
      <x:c r="I424" s="92" t="n">
        <x:v>4.1327</x:v>
      </x:c>
      <x:c r="J424" s="92" t="str">
        <x:v>4132700000000000000</x:v>
      </x:c>
      <x:c r="K424" s="92" t="n">
        <x:v>4.1327</x:v>
      </x:c>
      <x:c r="L424" s="98" t="str">
        <x:v>PENDING_OWNER_ELIGIBILITY_APPROVAL</x:v>
      </x:c>
      <x:c r="M424" s="98" t="b">
        <x:f>IF(E424="EOA_CANDIDATE",I424&gt;='Decision Summary'!$B$11,FALSE)</x:f>
        <x:v>0</x:v>
      </x:c>
      <x:c r="N424" s="98" t="str">
        <x:f>IF(M424,"DRAFT INCLUDE","HOLD / EXCLUDE")</x:f>
        <x:v>HOLD / EXCLUDE</x:v>
      </x:c>
      <x:c r="O424" s="101" t="str">
        <x:f>IF(M424,C424,"")</x:f>
      </x:c>
      <x:c r="P424" s="98" t="str">
        <x:f>IF(N424="DRAFT INCLUDE",ROUNDUP(COUNTIF($N$6:N424,"DRAFT INCLUDE")/'Decision Summary'!$B$12,0),"")</x:f>
      </x:c>
      <x:c r="Q424" s="98" t="str">
        <x:f>IF(N424="DRAFT INCLUDE",MOD(COUNTIF($N$6:N424,"DRAFT INCLUDE")-1,'Decision Summary'!$B$12)+1,"")</x:f>
      </x:c>
      <x:c r="R424" s="98" t="str">
        <x:v>PENDING</x:v>
      </x:c>
      <x:c r="S424" s="98" t="str"/>
      <x:c r="T424" s="98" t="str">
        <x:v>Ordinary EOA candidate; inclusion still depends on V1 deprecation, threshold policy and owner approval.</x:v>
      </x:c>
      <x:c r="U424" s="89" t="str">
        <x:v>https://etherscan.io/token/0x445d03f499f1c150615957bb87588fb465fc91cc#balances</x:v>
      </x:c>
      <x:c r="V424" s="89" t="b">
        <x:f>COUNTIF($C$6:$C$502,C424)&gt;1</x:f>
        <x:v>0</x:v>
      </x:c>
    </x:row>
    <x:row r="425">
      <x:c r="A425" s="89" t="n">
        <x:v>420</x:v>
      </x:c>
      <x:c r="B425" s="89" t="str">
        <x:v>v1-mainnet-0420</x:v>
      </x:c>
      <x:c r="C425" s="90" t="str">
        <x:v>0x6bc800d9800770c7bd9e5d38a412a0e7e56d6444</x:v>
      </x:c>
      <x:c r="D425" s="98" t="str"/>
      <x:c r="E425" s="98" t="str">
        <x:v>EOA_CANDIDATE</x:v>
      </x:c>
      <x:c r="F425" s="91" t="b">
        <x:v>0</x:v>
      </x:c>
      <x:c r="G425" s="89" t="n">
        <x:v>0</x:v>
      </x:c>
      <x:c r="H425" s="90" t="str">
        <x:v>4091700000000</x:v>
      </x:c>
      <x:c r="I425" s="92" t="n">
        <x:v>4.0917</x:v>
      </x:c>
      <x:c r="J425" s="92" t="str">
        <x:v>4091700000000000000</x:v>
      </x:c>
      <x:c r="K425" s="92" t="n">
        <x:v>4.0917</x:v>
      </x:c>
      <x:c r="L425" s="98" t="str">
        <x:v>PENDING_OWNER_ELIGIBILITY_APPROVAL</x:v>
      </x:c>
      <x:c r="M425" s="98" t="b">
        <x:f>IF(E425="EOA_CANDIDATE",I425&gt;='Decision Summary'!$B$11,FALSE)</x:f>
        <x:v>0</x:v>
      </x:c>
      <x:c r="N425" s="98" t="str">
        <x:f>IF(M425,"DRAFT INCLUDE","HOLD / EXCLUDE")</x:f>
        <x:v>HOLD / EXCLUDE</x:v>
      </x:c>
      <x:c r="O425" s="101" t="str">
        <x:f>IF(M425,C425,"")</x:f>
      </x:c>
      <x:c r="P425" s="98" t="str">
        <x:f>IF(N425="DRAFT INCLUDE",ROUNDUP(COUNTIF($N$6:N425,"DRAFT INCLUDE")/'Decision Summary'!$B$12,0),"")</x:f>
      </x:c>
      <x:c r="Q425" s="98" t="str">
        <x:f>IF(N425="DRAFT INCLUDE",MOD(COUNTIF($N$6:N425,"DRAFT INCLUDE")-1,'Decision Summary'!$B$12)+1,"")</x:f>
      </x:c>
      <x:c r="R425" s="98" t="str">
        <x:v>PENDING</x:v>
      </x:c>
      <x:c r="S425" s="98" t="str"/>
      <x:c r="T425" s="98" t="str">
        <x:v>Ordinary EOA candidate; inclusion still depends on V1 deprecation, threshold policy and owner approval.</x:v>
      </x:c>
      <x:c r="U425" s="89" t="str">
        <x:v>https://etherscan.io/token/0x445d03f499f1c150615957bb87588fb465fc91cc#balances</x:v>
      </x:c>
      <x:c r="V425" s="89" t="b">
        <x:f>COUNTIF($C$6:$C$502,C425)&gt;1</x:f>
        <x:v>0</x:v>
      </x:c>
    </x:row>
    <x:row r="426">
      <x:c r="A426" s="89" t="n">
        <x:v>421</x:v>
      </x:c>
      <x:c r="B426" s="89" t="str">
        <x:v>v1-mainnet-0421</x:v>
      </x:c>
      <x:c r="C426" s="90" t="str">
        <x:v>0x810f04a9e7b967d83762baa77e1615181597ced8</x:v>
      </x:c>
      <x:c r="D426" s="98" t="str"/>
      <x:c r="E426" s="98" t="str">
        <x:v>EOA_CANDIDATE</x:v>
      </x:c>
      <x:c r="F426" s="91" t="b">
        <x:v>0</x:v>
      </x:c>
      <x:c r="G426" s="89" t="n">
        <x:v>0</x:v>
      </x:c>
      <x:c r="H426" s="90" t="str">
        <x:v>4071000000000</x:v>
      </x:c>
      <x:c r="I426" s="92" t="n">
        <x:v>4.071</x:v>
      </x:c>
      <x:c r="J426" s="92" t="str">
        <x:v>4071000000000000000</x:v>
      </x:c>
      <x:c r="K426" s="92" t="n">
        <x:v>4.071</x:v>
      </x:c>
      <x:c r="L426" s="98" t="str">
        <x:v>PENDING_OWNER_ELIGIBILITY_APPROVAL</x:v>
      </x:c>
      <x:c r="M426" s="98" t="b">
        <x:f>IF(E426="EOA_CANDIDATE",I426&gt;='Decision Summary'!$B$11,FALSE)</x:f>
        <x:v>0</x:v>
      </x:c>
      <x:c r="N426" s="98" t="str">
        <x:f>IF(M426,"DRAFT INCLUDE","HOLD / EXCLUDE")</x:f>
        <x:v>HOLD / EXCLUDE</x:v>
      </x:c>
      <x:c r="O426" s="101" t="str">
        <x:f>IF(M426,C426,"")</x:f>
      </x:c>
      <x:c r="P426" s="98" t="str">
        <x:f>IF(N426="DRAFT INCLUDE",ROUNDUP(COUNTIF($N$6:N426,"DRAFT INCLUDE")/'Decision Summary'!$B$12,0),"")</x:f>
      </x:c>
      <x:c r="Q426" s="98" t="str">
        <x:f>IF(N426="DRAFT INCLUDE",MOD(COUNTIF($N$6:N426,"DRAFT INCLUDE")-1,'Decision Summary'!$B$12)+1,"")</x:f>
      </x:c>
      <x:c r="R426" s="98" t="str">
        <x:v>PENDING</x:v>
      </x:c>
      <x:c r="S426" s="98" t="str"/>
      <x:c r="T426" s="98" t="str">
        <x:v>Ordinary EOA candidate; inclusion still depends on V1 deprecation, threshold policy and owner approval.</x:v>
      </x:c>
      <x:c r="U426" s="89" t="str">
        <x:v>https://etherscan.io/token/0x445d03f499f1c150615957bb87588fb465fc91cc#balances</x:v>
      </x:c>
      <x:c r="V426" s="89" t="b">
        <x:f>COUNTIF($C$6:$C$502,C426)&gt;1</x:f>
        <x:v>0</x:v>
      </x:c>
    </x:row>
    <x:row r="427">
      <x:c r="A427" s="89" t="n">
        <x:v>422</x:v>
      </x:c>
      <x:c r="B427" s="89" t="str">
        <x:v>v1-mainnet-0422</x:v>
      </x:c>
      <x:c r="C427" s="90" t="str">
        <x:v>0xd22733e6420ec9b1399438a5eae332e0d8198d1c</x:v>
      </x:c>
      <x:c r="D427" s="98" t="str"/>
      <x:c r="E427" s="98" t="str">
        <x:v>EOA_CANDIDATE</x:v>
      </x:c>
      <x:c r="F427" s="91" t="b">
        <x:v>0</x:v>
      </x:c>
      <x:c r="G427" s="89" t="n">
        <x:v>0</x:v>
      </x:c>
      <x:c r="H427" s="90" t="str">
        <x:v>4068600000000</x:v>
      </x:c>
      <x:c r="I427" s="92" t="n">
        <x:v>4.0686</x:v>
      </x:c>
      <x:c r="J427" s="92" t="str">
        <x:v>4068600000000000000</x:v>
      </x:c>
      <x:c r="K427" s="92" t="n">
        <x:v>4.0686</x:v>
      </x:c>
      <x:c r="L427" s="98" t="str">
        <x:v>PENDING_OWNER_ELIGIBILITY_APPROVAL</x:v>
      </x:c>
      <x:c r="M427" s="98" t="b">
        <x:f>IF(E427="EOA_CANDIDATE",I427&gt;='Decision Summary'!$B$11,FALSE)</x:f>
        <x:v>0</x:v>
      </x:c>
      <x:c r="N427" s="98" t="str">
        <x:f>IF(M427,"DRAFT INCLUDE","HOLD / EXCLUDE")</x:f>
        <x:v>HOLD / EXCLUDE</x:v>
      </x:c>
      <x:c r="O427" s="101" t="str">
        <x:f>IF(M427,C427,"")</x:f>
      </x:c>
      <x:c r="P427" s="98" t="str">
        <x:f>IF(N427="DRAFT INCLUDE",ROUNDUP(COUNTIF($N$6:N427,"DRAFT INCLUDE")/'Decision Summary'!$B$12,0),"")</x:f>
      </x:c>
      <x:c r="Q427" s="98" t="str">
        <x:f>IF(N427="DRAFT INCLUDE",MOD(COUNTIF($N$6:N427,"DRAFT INCLUDE")-1,'Decision Summary'!$B$12)+1,"")</x:f>
      </x:c>
      <x:c r="R427" s="98" t="str">
        <x:v>PENDING</x:v>
      </x:c>
      <x:c r="S427" s="98" t="str"/>
      <x:c r="T427" s="98" t="str">
        <x:v>Ordinary EOA candidate; inclusion still depends on V1 deprecation, threshold policy and owner approval.</x:v>
      </x:c>
      <x:c r="U427" s="89" t="str">
        <x:v>https://etherscan.io/token/0x445d03f499f1c150615957bb87588fb465fc91cc#balances</x:v>
      </x:c>
      <x:c r="V427" s="89" t="b">
        <x:f>COUNTIF($C$6:$C$502,C427)&gt;1</x:f>
        <x:v>0</x:v>
      </x:c>
    </x:row>
    <x:row r="428">
      <x:c r="A428" s="89" t="n">
        <x:v>423</x:v>
      </x:c>
      <x:c r="B428" s="89" t="str">
        <x:v>v1-mainnet-0423</x:v>
      </x:c>
      <x:c r="C428" s="90" t="str">
        <x:v>0x8117a00a626c4eca61946ea16ce3195516240f99</x:v>
      </x:c>
      <x:c r="D428" s="98" t="str"/>
      <x:c r="E428" s="98" t="str">
        <x:v>EOA_CANDIDATE</x:v>
      </x:c>
      <x:c r="F428" s="91" t="b">
        <x:v>0</x:v>
      </x:c>
      <x:c r="G428" s="89" t="n">
        <x:v>0</x:v>
      </x:c>
      <x:c r="H428" s="90" t="str">
        <x:v>4052000000000</x:v>
      </x:c>
      <x:c r="I428" s="92" t="n">
        <x:v>4.052</x:v>
      </x:c>
      <x:c r="J428" s="92" t="str">
        <x:v>4052000000000000000</x:v>
      </x:c>
      <x:c r="K428" s="92" t="n">
        <x:v>4.052</x:v>
      </x:c>
      <x:c r="L428" s="98" t="str">
        <x:v>PENDING_OWNER_ELIGIBILITY_APPROVAL</x:v>
      </x:c>
      <x:c r="M428" s="98" t="b">
        <x:f>IF(E428="EOA_CANDIDATE",I428&gt;='Decision Summary'!$B$11,FALSE)</x:f>
        <x:v>0</x:v>
      </x:c>
      <x:c r="N428" s="98" t="str">
        <x:f>IF(M428,"DRAFT INCLUDE","HOLD / EXCLUDE")</x:f>
        <x:v>HOLD / EXCLUDE</x:v>
      </x:c>
      <x:c r="O428" s="101" t="str">
        <x:f>IF(M428,C428,"")</x:f>
      </x:c>
      <x:c r="P428" s="98" t="str">
        <x:f>IF(N428="DRAFT INCLUDE",ROUNDUP(COUNTIF($N$6:N428,"DRAFT INCLUDE")/'Decision Summary'!$B$12,0),"")</x:f>
      </x:c>
      <x:c r="Q428" s="98" t="str">
        <x:f>IF(N428="DRAFT INCLUDE",MOD(COUNTIF($N$6:N428,"DRAFT INCLUDE")-1,'Decision Summary'!$B$12)+1,"")</x:f>
      </x:c>
      <x:c r="R428" s="98" t="str">
        <x:v>PENDING</x:v>
      </x:c>
      <x:c r="S428" s="98" t="str"/>
      <x:c r="T428" s="98" t="str">
        <x:v>Ordinary EOA candidate; inclusion still depends on V1 deprecation, threshold policy and owner approval.</x:v>
      </x:c>
      <x:c r="U428" s="89" t="str">
        <x:v>https://etherscan.io/token/0x445d03f499f1c150615957bb87588fb465fc91cc#balances</x:v>
      </x:c>
      <x:c r="V428" s="89" t="b">
        <x:f>COUNTIF($C$6:$C$502,C428)&gt;1</x:f>
        <x:v>0</x:v>
      </x:c>
    </x:row>
    <x:row r="429">
      <x:c r="A429" s="89" t="n">
        <x:v>424</x:v>
      </x:c>
      <x:c r="B429" s="89" t="str">
        <x:v>v1-mainnet-0424</x:v>
      </x:c>
      <x:c r="C429" s="90" t="str">
        <x:v>0x46ce3fd42fe418e3006d2f2c828a95d5e11af9b6</x:v>
      </x:c>
      <x:c r="D429" s="98" t="str"/>
      <x:c r="E429" s="98" t="str">
        <x:v>EOA_CANDIDATE</x:v>
      </x:c>
      <x:c r="F429" s="91" t="b">
        <x:v>0</x:v>
      </x:c>
      <x:c r="G429" s="89" t="n">
        <x:v>0</x:v>
      </x:c>
      <x:c r="H429" s="90" t="str">
        <x:v>4035000000000</x:v>
      </x:c>
      <x:c r="I429" s="92" t="n">
        <x:v>4.035</x:v>
      </x:c>
      <x:c r="J429" s="92" t="str">
        <x:v>4035000000000000000</x:v>
      </x:c>
      <x:c r="K429" s="92" t="n">
        <x:v>4.035</x:v>
      </x:c>
      <x:c r="L429" s="98" t="str">
        <x:v>PENDING_OWNER_ELIGIBILITY_APPROVAL</x:v>
      </x:c>
      <x:c r="M429" s="98" t="b">
        <x:f>IF(E429="EOA_CANDIDATE",I429&gt;='Decision Summary'!$B$11,FALSE)</x:f>
        <x:v>0</x:v>
      </x:c>
      <x:c r="N429" s="98" t="str">
        <x:f>IF(M429,"DRAFT INCLUDE","HOLD / EXCLUDE")</x:f>
        <x:v>HOLD / EXCLUDE</x:v>
      </x:c>
      <x:c r="O429" s="101" t="str">
        <x:f>IF(M429,C429,"")</x:f>
      </x:c>
      <x:c r="P429" s="98" t="str">
        <x:f>IF(N429="DRAFT INCLUDE",ROUNDUP(COUNTIF($N$6:N429,"DRAFT INCLUDE")/'Decision Summary'!$B$12,0),"")</x:f>
      </x:c>
      <x:c r="Q429" s="98" t="str">
        <x:f>IF(N429="DRAFT INCLUDE",MOD(COUNTIF($N$6:N429,"DRAFT INCLUDE")-1,'Decision Summary'!$B$12)+1,"")</x:f>
      </x:c>
      <x:c r="R429" s="98" t="str">
        <x:v>PENDING</x:v>
      </x:c>
      <x:c r="S429" s="98" t="str"/>
      <x:c r="T429" s="98" t="str">
        <x:v>Ordinary EOA candidate; inclusion still depends on V1 deprecation, threshold policy and owner approval.</x:v>
      </x:c>
      <x:c r="U429" s="89" t="str">
        <x:v>https://etherscan.io/token/0x445d03f499f1c150615957bb87588fb465fc91cc#balances</x:v>
      </x:c>
      <x:c r="V429" s="89" t="b">
        <x:f>COUNTIF($C$6:$C$502,C429)&gt;1</x:f>
        <x:v>0</x:v>
      </x:c>
    </x:row>
    <x:row r="430">
      <x:c r="A430" s="89" t="n">
        <x:v>425</x:v>
      </x:c>
      <x:c r="B430" s="89" t="str">
        <x:v>v1-mainnet-0425</x:v>
      </x:c>
      <x:c r="C430" s="90" t="str">
        <x:v>0xd4c31a417c69d284ba5f43ed5439c7ea45229ffe</x:v>
      </x:c>
      <x:c r="D430" s="98" t="str"/>
      <x:c r="E430" s="98" t="str">
        <x:v>EOA_CANDIDATE</x:v>
      </x:c>
      <x:c r="F430" s="91" t="b">
        <x:v>0</x:v>
      </x:c>
      <x:c r="G430" s="89" t="n">
        <x:v>0</x:v>
      </x:c>
      <x:c r="H430" s="90" t="str">
        <x:v>4030400000000</x:v>
      </x:c>
      <x:c r="I430" s="92" t="n">
        <x:v>4.0304</x:v>
      </x:c>
      <x:c r="J430" s="92" t="str">
        <x:v>4030400000000000000</x:v>
      </x:c>
      <x:c r="K430" s="92" t="n">
        <x:v>4.0304</x:v>
      </x:c>
      <x:c r="L430" s="98" t="str">
        <x:v>PENDING_OWNER_ELIGIBILITY_APPROVAL</x:v>
      </x:c>
      <x:c r="M430" s="98" t="b">
        <x:f>IF(E430="EOA_CANDIDATE",I430&gt;='Decision Summary'!$B$11,FALSE)</x:f>
        <x:v>0</x:v>
      </x:c>
      <x:c r="N430" s="98" t="str">
        <x:f>IF(M430,"DRAFT INCLUDE","HOLD / EXCLUDE")</x:f>
        <x:v>HOLD / EXCLUDE</x:v>
      </x:c>
      <x:c r="O430" s="101" t="str">
        <x:f>IF(M430,C430,"")</x:f>
      </x:c>
      <x:c r="P430" s="98" t="str">
        <x:f>IF(N430="DRAFT INCLUDE",ROUNDUP(COUNTIF($N$6:N430,"DRAFT INCLUDE")/'Decision Summary'!$B$12,0),"")</x:f>
      </x:c>
      <x:c r="Q430" s="98" t="str">
        <x:f>IF(N430="DRAFT INCLUDE",MOD(COUNTIF($N$6:N430,"DRAFT INCLUDE")-1,'Decision Summary'!$B$12)+1,"")</x:f>
      </x:c>
      <x:c r="R430" s="98" t="str">
        <x:v>PENDING</x:v>
      </x:c>
      <x:c r="S430" s="98" t="str"/>
      <x:c r="T430" s="98" t="str">
        <x:v>Ordinary EOA candidate; inclusion still depends on V1 deprecation, threshold policy and owner approval.</x:v>
      </x:c>
      <x:c r="U430" s="89" t="str">
        <x:v>https://etherscan.io/token/0x445d03f499f1c150615957bb87588fb465fc91cc#balances</x:v>
      </x:c>
      <x:c r="V430" s="89" t="b">
        <x:f>COUNTIF($C$6:$C$502,C430)&gt;1</x:f>
        <x:v>0</x:v>
      </x:c>
    </x:row>
    <x:row r="431">
      <x:c r="A431" s="89" t="n">
        <x:v>426</x:v>
      </x:c>
      <x:c r="B431" s="89" t="str">
        <x:v>v1-mainnet-0426</x:v>
      </x:c>
      <x:c r="C431" s="90" t="str">
        <x:v>0xe26794dacde2f363c670bba74c2096756967d585</x:v>
      </x:c>
      <x:c r="D431" s="98" t="str"/>
      <x:c r="E431" s="98" t="str">
        <x:v>EOA_CANDIDATE</x:v>
      </x:c>
      <x:c r="F431" s="91" t="b">
        <x:v>0</x:v>
      </x:c>
      <x:c r="G431" s="89" t="n">
        <x:v>0</x:v>
      </x:c>
      <x:c r="H431" s="90" t="str">
        <x:v>4004400000000</x:v>
      </x:c>
      <x:c r="I431" s="92" t="n">
        <x:v>4.0044</x:v>
      </x:c>
      <x:c r="J431" s="92" t="str">
        <x:v>4004400000000000000</x:v>
      </x:c>
      <x:c r="K431" s="92" t="n">
        <x:v>4.0044</x:v>
      </x:c>
      <x:c r="L431" s="98" t="str">
        <x:v>PENDING_OWNER_ELIGIBILITY_APPROVAL</x:v>
      </x:c>
      <x:c r="M431" s="98" t="b">
        <x:f>IF(E431="EOA_CANDIDATE",I431&gt;='Decision Summary'!$B$11,FALSE)</x:f>
        <x:v>0</x:v>
      </x:c>
      <x:c r="N431" s="98" t="str">
        <x:f>IF(M431,"DRAFT INCLUDE","HOLD / EXCLUDE")</x:f>
        <x:v>HOLD / EXCLUDE</x:v>
      </x:c>
      <x:c r="O431" s="101" t="str">
        <x:f>IF(M431,C431,"")</x:f>
      </x:c>
      <x:c r="P431" s="98" t="str">
        <x:f>IF(N431="DRAFT INCLUDE",ROUNDUP(COUNTIF($N$6:N431,"DRAFT INCLUDE")/'Decision Summary'!$B$12,0),"")</x:f>
      </x:c>
      <x:c r="Q431" s="98" t="str">
        <x:f>IF(N431="DRAFT INCLUDE",MOD(COUNTIF($N$6:N431,"DRAFT INCLUDE")-1,'Decision Summary'!$B$12)+1,"")</x:f>
      </x:c>
      <x:c r="R431" s="98" t="str">
        <x:v>PENDING</x:v>
      </x:c>
      <x:c r="S431" s="98" t="str"/>
      <x:c r="T431" s="98" t="str">
        <x:v>Ordinary EOA candidate; inclusion still depends on V1 deprecation, threshold policy and owner approval.</x:v>
      </x:c>
      <x:c r="U431" s="89" t="str">
        <x:v>https://etherscan.io/token/0x445d03f499f1c150615957bb87588fb465fc91cc#balances</x:v>
      </x:c>
      <x:c r="V431" s="89" t="b">
        <x:f>COUNTIF($C$6:$C$502,C431)&gt;1</x:f>
        <x:v>0</x:v>
      </x:c>
    </x:row>
    <x:row r="432">
      <x:c r="A432" s="89" t="n">
        <x:v>427</x:v>
      </x:c>
      <x:c r="B432" s="89" t="str">
        <x:v>v1-mainnet-0427</x:v>
      </x:c>
      <x:c r="C432" s="90" t="str">
        <x:v>0x6b53a27afeb7516ebba31212ee07184aed3c7f13</x:v>
      </x:c>
      <x:c r="D432" s="98" t="str"/>
      <x:c r="E432" s="98" t="str">
        <x:v>EOA_CANDIDATE</x:v>
      </x:c>
      <x:c r="F432" s="91" t="b">
        <x:v>0</x:v>
      </x:c>
      <x:c r="G432" s="89" t="n">
        <x:v>0</x:v>
      </x:c>
      <x:c r="H432" s="90" t="str">
        <x:v>3992000000000</x:v>
      </x:c>
      <x:c r="I432" s="92" t="n">
        <x:v>3.992</x:v>
      </x:c>
      <x:c r="J432" s="92" t="str">
        <x:v>3992000000000000000</x:v>
      </x:c>
      <x:c r="K432" s="92" t="n">
        <x:v>3.992</x:v>
      </x:c>
      <x:c r="L432" s="98" t="str">
        <x:v>PENDING_OWNER_ELIGIBILITY_APPROVAL</x:v>
      </x:c>
      <x:c r="M432" s="98" t="b">
        <x:f>IF(E432="EOA_CANDIDATE",I432&gt;='Decision Summary'!$B$11,FALSE)</x:f>
        <x:v>0</x:v>
      </x:c>
      <x:c r="N432" s="98" t="str">
        <x:f>IF(M432,"DRAFT INCLUDE","HOLD / EXCLUDE")</x:f>
        <x:v>HOLD / EXCLUDE</x:v>
      </x:c>
      <x:c r="O432" s="101" t="str">
        <x:f>IF(M432,C432,"")</x:f>
      </x:c>
      <x:c r="P432" s="98" t="str">
        <x:f>IF(N432="DRAFT INCLUDE",ROUNDUP(COUNTIF($N$6:N432,"DRAFT INCLUDE")/'Decision Summary'!$B$12,0),"")</x:f>
      </x:c>
      <x:c r="Q432" s="98" t="str">
        <x:f>IF(N432="DRAFT INCLUDE",MOD(COUNTIF($N$6:N432,"DRAFT INCLUDE")-1,'Decision Summary'!$B$12)+1,"")</x:f>
      </x:c>
      <x:c r="R432" s="98" t="str">
        <x:v>PENDING</x:v>
      </x:c>
      <x:c r="S432" s="98" t="str"/>
      <x:c r="T432" s="98" t="str">
        <x:v>Ordinary EOA candidate; inclusion still depends on V1 deprecation, threshold policy and owner approval.</x:v>
      </x:c>
      <x:c r="U432" s="89" t="str">
        <x:v>https://etherscan.io/token/0x445d03f499f1c150615957bb87588fb465fc91cc#balances</x:v>
      </x:c>
      <x:c r="V432" s="89" t="b">
        <x:f>COUNTIF($C$6:$C$502,C432)&gt;1</x:f>
        <x:v>0</x:v>
      </x:c>
    </x:row>
    <x:row r="433">
      <x:c r="A433" s="89" t="n">
        <x:v>428</x:v>
      </x:c>
      <x:c r="B433" s="89" t="str">
        <x:v>v1-mainnet-0428</x:v>
      </x:c>
      <x:c r="C433" s="90" t="str">
        <x:v>0x840c1651e37aaae6bad1ea5cade2e2ee25ecf8c2</x:v>
      </x:c>
      <x:c r="D433" s="98" t="str"/>
      <x:c r="E433" s="98" t="str">
        <x:v>EOA_CANDIDATE</x:v>
      </x:c>
      <x:c r="F433" s="91" t="b">
        <x:v>0</x:v>
      </x:c>
      <x:c r="G433" s="89" t="n">
        <x:v>0</x:v>
      </x:c>
      <x:c r="H433" s="90" t="str">
        <x:v>3969100000000</x:v>
      </x:c>
      <x:c r="I433" s="92" t="n">
        <x:v>3.9691</x:v>
      </x:c>
      <x:c r="J433" s="92" t="str">
        <x:v>3969100000000000000</x:v>
      </x:c>
      <x:c r="K433" s="92" t="n">
        <x:v>3.9691</x:v>
      </x:c>
      <x:c r="L433" s="98" t="str">
        <x:v>PENDING_OWNER_ELIGIBILITY_APPROVAL</x:v>
      </x:c>
      <x:c r="M433" s="98" t="b">
        <x:f>IF(E433="EOA_CANDIDATE",I433&gt;='Decision Summary'!$B$11,FALSE)</x:f>
        <x:v>0</x:v>
      </x:c>
      <x:c r="N433" s="98" t="str">
        <x:f>IF(M433,"DRAFT INCLUDE","HOLD / EXCLUDE")</x:f>
        <x:v>HOLD / EXCLUDE</x:v>
      </x:c>
      <x:c r="O433" s="101" t="str">
        <x:f>IF(M433,C433,"")</x:f>
      </x:c>
      <x:c r="P433" s="98" t="str">
        <x:f>IF(N433="DRAFT INCLUDE",ROUNDUP(COUNTIF($N$6:N433,"DRAFT INCLUDE")/'Decision Summary'!$B$12,0),"")</x:f>
      </x:c>
      <x:c r="Q433" s="98" t="str">
        <x:f>IF(N433="DRAFT INCLUDE",MOD(COUNTIF($N$6:N433,"DRAFT INCLUDE")-1,'Decision Summary'!$B$12)+1,"")</x:f>
      </x:c>
      <x:c r="R433" s="98" t="str">
        <x:v>PENDING</x:v>
      </x:c>
      <x:c r="S433" s="98" t="str"/>
      <x:c r="T433" s="98" t="str">
        <x:v>Ordinary EOA candidate; inclusion still depends on V1 deprecation, threshold policy and owner approval.</x:v>
      </x:c>
      <x:c r="U433" s="89" t="str">
        <x:v>https://etherscan.io/token/0x445d03f499f1c150615957bb87588fb465fc91cc#balances</x:v>
      </x:c>
      <x:c r="V433" s="89" t="b">
        <x:f>COUNTIF($C$6:$C$502,C433)&gt;1</x:f>
        <x:v>0</x:v>
      </x:c>
    </x:row>
    <x:row r="434">
      <x:c r="A434" s="89" t="n">
        <x:v>429</x:v>
      </x:c>
      <x:c r="B434" s="89" t="str">
        <x:v>v1-mainnet-0429</x:v>
      </x:c>
      <x:c r="C434" s="90" t="str">
        <x:v>0xdaf3a24b0cf5489c8c629d3745a299e8f95c4fd1</x:v>
      </x:c>
      <x:c r="D434" s="98" t="str"/>
      <x:c r="E434" s="98" t="str">
        <x:v>EOA_CANDIDATE</x:v>
      </x:c>
      <x:c r="F434" s="91" t="b">
        <x:v>0</x:v>
      </x:c>
      <x:c r="G434" s="89" t="n">
        <x:v>0</x:v>
      </x:c>
      <x:c r="H434" s="90" t="str">
        <x:v>3963200000000</x:v>
      </x:c>
      <x:c r="I434" s="92" t="n">
        <x:v>3.9632</x:v>
      </x:c>
      <x:c r="J434" s="92" t="str">
        <x:v>3963200000000000000</x:v>
      </x:c>
      <x:c r="K434" s="92" t="n">
        <x:v>3.9632</x:v>
      </x:c>
      <x:c r="L434" s="98" t="str">
        <x:v>PENDING_OWNER_ELIGIBILITY_APPROVAL</x:v>
      </x:c>
      <x:c r="M434" s="98" t="b">
        <x:f>IF(E434="EOA_CANDIDATE",I434&gt;='Decision Summary'!$B$11,FALSE)</x:f>
        <x:v>0</x:v>
      </x:c>
      <x:c r="N434" s="98" t="str">
        <x:f>IF(M434,"DRAFT INCLUDE","HOLD / EXCLUDE")</x:f>
        <x:v>HOLD / EXCLUDE</x:v>
      </x:c>
      <x:c r="O434" s="101" t="str">
        <x:f>IF(M434,C434,"")</x:f>
      </x:c>
      <x:c r="P434" s="98" t="str">
        <x:f>IF(N434="DRAFT INCLUDE",ROUNDUP(COUNTIF($N$6:N434,"DRAFT INCLUDE")/'Decision Summary'!$B$12,0),"")</x:f>
      </x:c>
      <x:c r="Q434" s="98" t="str">
        <x:f>IF(N434="DRAFT INCLUDE",MOD(COUNTIF($N$6:N434,"DRAFT INCLUDE")-1,'Decision Summary'!$B$12)+1,"")</x:f>
      </x:c>
      <x:c r="R434" s="98" t="str">
        <x:v>PENDING</x:v>
      </x:c>
      <x:c r="S434" s="98" t="str"/>
      <x:c r="T434" s="98" t="str">
        <x:v>Ordinary EOA candidate; inclusion still depends on V1 deprecation, threshold policy and owner approval.</x:v>
      </x:c>
      <x:c r="U434" s="89" t="str">
        <x:v>https://etherscan.io/token/0x445d03f499f1c150615957bb87588fb465fc91cc#balances</x:v>
      </x:c>
      <x:c r="V434" s="89" t="b">
        <x:f>COUNTIF($C$6:$C$502,C434)&gt;1</x:f>
        <x:v>0</x:v>
      </x:c>
    </x:row>
    <x:row r="435">
      <x:c r="A435" s="89" t="n">
        <x:v>430</x:v>
      </x:c>
      <x:c r="B435" s="89" t="str">
        <x:v>v1-mainnet-0430</x:v>
      </x:c>
      <x:c r="C435" s="90" t="str">
        <x:v>0x49368bddcd7fbd2c0962dfc5b3941b69c52c84e0</x:v>
      </x:c>
      <x:c r="D435" s="98" t="str"/>
      <x:c r="E435" s="98" t="str">
        <x:v>EOA_CANDIDATE</x:v>
      </x:c>
      <x:c r="F435" s="91" t="b">
        <x:v>0</x:v>
      </x:c>
      <x:c r="G435" s="89" t="n">
        <x:v>0</x:v>
      </x:c>
      <x:c r="H435" s="90" t="str">
        <x:v>3960300000000</x:v>
      </x:c>
      <x:c r="I435" s="92" t="n">
        <x:v>3.9603</x:v>
      </x:c>
      <x:c r="J435" s="92" t="str">
        <x:v>3960300000000000000</x:v>
      </x:c>
      <x:c r="K435" s="92" t="n">
        <x:v>3.9603</x:v>
      </x:c>
      <x:c r="L435" s="98" t="str">
        <x:v>PENDING_OWNER_ELIGIBILITY_APPROVAL</x:v>
      </x:c>
      <x:c r="M435" s="98" t="b">
        <x:f>IF(E435="EOA_CANDIDATE",I435&gt;='Decision Summary'!$B$11,FALSE)</x:f>
        <x:v>0</x:v>
      </x:c>
      <x:c r="N435" s="98" t="str">
        <x:f>IF(M435,"DRAFT INCLUDE","HOLD / EXCLUDE")</x:f>
        <x:v>HOLD / EXCLUDE</x:v>
      </x:c>
      <x:c r="O435" s="101" t="str">
        <x:f>IF(M435,C435,"")</x:f>
      </x:c>
      <x:c r="P435" s="98" t="str">
        <x:f>IF(N435="DRAFT INCLUDE",ROUNDUP(COUNTIF($N$6:N435,"DRAFT INCLUDE")/'Decision Summary'!$B$12,0),"")</x:f>
      </x:c>
      <x:c r="Q435" s="98" t="str">
        <x:f>IF(N435="DRAFT INCLUDE",MOD(COUNTIF($N$6:N435,"DRAFT INCLUDE")-1,'Decision Summary'!$B$12)+1,"")</x:f>
      </x:c>
      <x:c r="R435" s="98" t="str">
        <x:v>PENDING</x:v>
      </x:c>
      <x:c r="S435" s="98" t="str"/>
      <x:c r="T435" s="98" t="str">
        <x:v>Ordinary EOA candidate; inclusion still depends on V1 deprecation, threshold policy and owner approval.</x:v>
      </x:c>
      <x:c r="U435" s="89" t="str">
        <x:v>https://etherscan.io/token/0x445d03f499f1c150615957bb87588fb465fc91cc#balances</x:v>
      </x:c>
      <x:c r="V435" s="89" t="b">
        <x:f>COUNTIF($C$6:$C$502,C435)&gt;1</x:f>
        <x:v>0</x:v>
      </x:c>
    </x:row>
    <x:row r="436">
      <x:c r="A436" s="89" t="n">
        <x:v>431</x:v>
      </x:c>
      <x:c r="B436" s="89" t="str">
        <x:v>v1-mainnet-0431</x:v>
      </x:c>
      <x:c r="C436" s="90" t="str">
        <x:v>0x1523d099e483f4b8815680fb4b934891f8da8483</x:v>
      </x:c>
      <x:c r="D436" s="98" t="str"/>
      <x:c r="E436" s="98" t="str">
        <x:v>EOA_CANDIDATE</x:v>
      </x:c>
      <x:c r="F436" s="91" t="b">
        <x:v>0</x:v>
      </x:c>
      <x:c r="G436" s="89" t="n">
        <x:v>0</x:v>
      </x:c>
      <x:c r="H436" s="90" t="str">
        <x:v>3956200000000</x:v>
      </x:c>
      <x:c r="I436" s="92" t="n">
        <x:v>3.9562</x:v>
      </x:c>
      <x:c r="J436" s="92" t="str">
        <x:v>3956200000000000000</x:v>
      </x:c>
      <x:c r="K436" s="92" t="n">
        <x:v>3.9562</x:v>
      </x:c>
      <x:c r="L436" s="98" t="str">
        <x:v>PENDING_OWNER_ELIGIBILITY_APPROVAL</x:v>
      </x:c>
      <x:c r="M436" s="98" t="b">
        <x:f>IF(E436="EOA_CANDIDATE",I436&gt;='Decision Summary'!$B$11,FALSE)</x:f>
        <x:v>0</x:v>
      </x:c>
      <x:c r="N436" s="98" t="str">
        <x:f>IF(M436,"DRAFT INCLUDE","HOLD / EXCLUDE")</x:f>
        <x:v>HOLD / EXCLUDE</x:v>
      </x:c>
      <x:c r="O436" s="101" t="str">
        <x:f>IF(M436,C436,"")</x:f>
      </x:c>
      <x:c r="P436" s="98" t="str">
        <x:f>IF(N436="DRAFT INCLUDE",ROUNDUP(COUNTIF($N$6:N436,"DRAFT INCLUDE")/'Decision Summary'!$B$12,0),"")</x:f>
      </x:c>
      <x:c r="Q436" s="98" t="str">
        <x:f>IF(N436="DRAFT INCLUDE",MOD(COUNTIF($N$6:N436,"DRAFT INCLUDE")-1,'Decision Summary'!$B$12)+1,"")</x:f>
      </x:c>
      <x:c r="R436" s="98" t="str">
        <x:v>PENDING</x:v>
      </x:c>
      <x:c r="S436" s="98" t="str"/>
      <x:c r="T436" s="98" t="str">
        <x:v>Ordinary EOA candidate; inclusion still depends on V1 deprecation, threshold policy and owner approval.</x:v>
      </x:c>
      <x:c r="U436" s="89" t="str">
        <x:v>https://etherscan.io/token/0x445d03f499f1c150615957bb87588fb465fc91cc#balances</x:v>
      </x:c>
      <x:c r="V436" s="89" t="b">
        <x:f>COUNTIF($C$6:$C$502,C436)&gt;1</x:f>
        <x:v>0</x:v>
      </x:c>
    </x:row>
    <x:row r="437">
      <x:c r="A437" s="89" t="n">
        <x:v>432</x:v>
      </x:c>
      <x:c r="B437" s="89" t="str">
        <x:v>v1-mainnet-0432</x:v>
      </x:c>
      <x:c r="C437" s="90" t="str">
        <x:v>0x5310fc91e7b06b1b7c12bda4a832bb98ae80ae4a</x:v>
      </x:c>
      <x:c r="D437" s="98" t="str"/>
      <x:c r="E437" s="98" t="str">
        <x:v>EOA_CANDIDATE</x:v>
      </x:c>
      <x:c r="F437" s="91" t="b">
        <x:v>0</x:v>
      </x:c>
      <x:c r="G437" s="89" t="n">
        <x:v>0</x:v>
      </x:c>
      <x:c r="H437" s="90" t="str">
        <x:v>3952600000000</x:v>
      </x:c>
      <x:c r="I437" s="92" t="n">
        <x:v>3.9526</x:v>
      </x:c>
      <x:c r="J437" s="92" t="str">
        <x:v>3952600000000000000</x:v>
      </x:c>
      <x:c r="K437" s="92" t="n">
        <x:v>3.9526</x:v>
      </x:c>
      <x:c r="L437" s="98" t="str">
        <x:v>PENDING_OWNER_ELIGIBILITY_APPROVAL</x:v>
      </x:c>
      <x:c r="M437" s="98" t="b">
        <x:f>IF(E437="EOA_CANDIDATE",I437&gt;='Decision Summary'!$B$11,FALSE)</x:f>
        <x:v>0</x:v>
      </x:c>
      <x:c r="N437" s="98" t="str">
        <x:f>IF(M437,"DRAFT INCLUDE","HOLD / EXCLUDE")</x:f>
        <x:v>HOLD / EXCLUDE</x:v>
      </x:c>
      <x:c r="O437" s="101" t="str">
        <x:f>IF(M437,C437,"")</x:f>
      </x:c>
      <x:c r="P437" s="98" t="str">
        <x:f>IF(N437="DRAFT INCLUDE",ROUNDUP(COUNTIF($N$6:N437,"DRAFT INCLUDE")/'Decision Summary'!$B$12,0),"")</x:f>
      </x:c>
      <x:c r="Q437" s="98" t="str">
        <x:f>IF(N437="DRAFT INCLUDE",MOD(COUNTIF($N$6:N437,"DRAFT INCLUDE")-1,'Decision Summary'!$B$12)+1,"")</x:f>
      </x:c>
      <x:c r="R437" s="98" t="str">
        <x:v>PENDING</x:v>
      </x:c>
      <x:c r="S437" s="98" t="str"/>
      <x:c r="T437" s="98" t="str">
        <x:v>Ordinary EOA candidate; inclusion still depends on V1 deprecation, threshold policy and owner approval.</x:v>
      </x:c>
      <x:c r="U437" s="89" t="str">
        <x:v>https://etherscan.io/token/0x445d03f499f1c150615957bb87588fb465fc91cc#balances</x:v>
      </x:c>
      <x:c r="V437" s="89" t="b">
        <x:f>COUNTIF($C$6:$C$502,C437)&gt;1</x:f>
        <x:v>0</x:v>
      </x:c>
    </x:row>
    <x:row r="438">
      <x:c r="A438" s="89" t="n">
        <x:v>433</x:v>
      </x:c>
      <x:c r="B438" s="89" t="str">
        <x:v>v1-mainnet-0433</x:v>
      </x:c>
      <x:c r="C438" s="90" t="str">
        <x:v>0x65c502e8481278b2bf51fc2851998d2b800f7316</x:v>
      </x:c>
      <x:c r="D438" s="98" t="str"/>
      <x:c r="E438" s="98" t="str">
        <x:v>EOA_CANDIDATE</x:v>
      </x:c>
      <x:c r="F438" s="91" t="b">
        <x:v>0</x:v>
      </x:c>
      <x:c r="G438" s="89" t="n">
        <x:v>0</x:v>
      </x:c>
      <x:c r="H438" s="90" t="str">
        <x:v>3924400000000</x:v>
      </x:c>
      <x:c r="I438" s="92" t="n">
        <x:v>3.9244</x:v>
      </x:c>
      <x:c r="J438" s="92" t="str">
        <x:v>3924400000000000000</x:v>
      </x:c>
      <x:c r="K438" s="92" t="n">
        <x:v>3.9244</x:v>
      </x:c>
      <x:c r="L438" s="98" t="str">
        <x:v>PENDING_OWNER_ELIGIBILITY_APPROVAL</x:v>
      </x:c>
      <x:c r="M438" s="98" t="b">
        <x:f>IF(E438="EOA_CANDIDATE",I438&gt;='Decision Summary'!$B$11,FALSE)</x:f>
        <x:v>0</x:v>
      </x:c>
      <x:c r="N438" s="98" t="str">
        <x:f>IF(M438,"DRAFT INCLUDE","HOLD / EXCLUDE")</x:f>
        <x:v>HOLD / EXCLUDE</x:v>
      </x:c>
      <x:c r="O438" s="101" t="str">
        <x:f>IF(M438,C438,"")</x:f>
      </x:c>
      <x:c r="P438" s="98" t="str">
        <x:f>IF(N438="DRAFT INCLUDE",ROUNDUP(COUNTIF($N$6:N438,"DRAFT INCLUDE")/'Decision Summary'!$B$12,0),"")</x:f>
      </x:c>
      <x:c r="Q438" s="98" t="str">
        <x:f>IF(N438="DRAFT INCLUDE",MOD(COUNTIF($N$6:N438,"DRAFT INCLUDE")-1,'Decision Summary'!$B$12)+1,"")</x:f>
      </x:c>
      <x:c r="R438" s="98" t="str">
        <x:v>PENDING</x:v>
      </x:c>
      <x:c r="S438" s="98" t="str"/>
      <x:c r="T438" s="98" t="str">
        <x:v>Ordinary EOA candidate; inclusion still depends on V1 deprecation, threshold policy and owner approval.</x:v>
      </x:c>
      <x:c r="U438" s="89" t="str">
        <x:v>https://etherscan.io/token/0x445d03f499f1c150615957bb87588fb465fc91cc#balances</x:v>
      </x:c>
      <x:c r="V438" s="89" t="b">
        <x:f>COUNTIF($C$6:$C$502,C438)&gt;1</x:f>
        <x:v>0</x:v>
      </x:c>
    </x:row>
    <x:row r="439">
      <x:c r="A439" s="89" t="n">
        <x:v>434</x:v>
      </x:c>
      <x:c r="B439" s="89" t="str">
        <x:v>v1-mainnet-0434</x:v>
      </x:c>
      <x:c r="C439" s="90" t="str">
        <x:v>0x90df71f850b761b55116e89b0fd06f1826573be2</x:v>
      </x:c>
      <x:c r="D439" s="98" t="str"/>
      <x:c r="E439" s="98" t="str">
        <x:v>EOA_CANDIDATE</x:v>
      </x:c>
      <x:c r="F439" s="91" t="b">
        <x:v>0</x:v>
      </x:c>
      <x:c r="G439" s="89" t="n">
        <x:v>0</x:v>
      </x:c>
      <x:c r="H439" s="90" t="str">
        <x:v>3921100000000</x:v>
      </x:c>
      <x:c r="I439" s="92" t="n">
        <x:v>3.9211</x:v>
      </x:c>
      <x:c r="J439" s="92" t="str">
        <x:v>3921100000000000000</x:v>
      </x:c>
      <x:c r="K439" s="92" t="n">
        <x:v>3.9211</x:v>
      </x:c>
      <x:c r="L439" s="98" t="str">
        <x:v>PENDING_OWNER_ELIGIBILITY_APPROVAL</x:v>
      </x:c>
      <x:c r="M439" s="98" t="b">
        <x:f>IF(E439="EOA_CANDIDATE",I439&gt;='Decision Summary'!$B$11,FALSE)</x:f>
        <x:v>0</x:v>
      </x:c>
      <x:c r="N439" s="98" t="str">
        <x:f>IF(M439,"DRAFT INCLUDE","HOLD / EXCLUDE")</x:f>
        <x:v>HOLD / EXCLUDE</x:v>
      </x:c>
      <x:c r="O439" s="101" t="str">
        <x:f>IF(M439,C439,"")</x:f>
      </x:c>
      <x:c r="P439" s="98" t="str">
        <x:f>IF(N439="DRAFT INCLUDE",ROUNDUP(COUNTIF($N$6:N439,"DRAFT INCLUDE")/'Decision Summary'!$B$12,0),"")</x:f>
      </x:c>
      <x:c r="Q439" s="98" t="str">
        <x:f>IF(N439="DRAFT INCLUDE",MOD(COUNTIF($N$6:N439,"DRAFT INCLUDE")-1,'Decision Summary'!$B$12)+1,"")</x:f>
      </x:c>
      <x:c r="R439" s="98" t="str">
        <x:v>PENDING</x:v>
      </x:c>
      <x:c r="S439" s="98" t="str"/>
      <x:c r="T439" s="98" t="str">
        <x:v>Ordinary EOA candidate; inclusion still depends on V1 deprecation, threshold policy and owner approval.</x:v>
      </x:c>
      <x:c r="U439" s="89" t="str">
        <x:v>https://etherscan.io/token/0x445d03f499f1c150615957bb87588fb465fc91cc#balances</x:v>
      </x:c>
      <x:c r="V439" s="89" t="b">
        <x:f>COUNTIF($C$6:$C$502,C439)&gt;1</x:f>
        <x:v>0</x:v>
      </x:c>
    </x:row>
    <x:row r="440">
      <x:c r="A440" s="89" t="n">
        <x:v>435</x:v>
      </x:c>
      <x:c r="B440" s="89" t="str">
        <x:v>v1-mainnet-0435</x:v>
      </x:c>
      <x:c r="C440" s="90" t="str">
        <x:v>0x946fe9a57e2470d46cdff9308292987c5fdde1df</x:v>
      </x:c>
      <x:c r="D440" s="98" t="str"/>
      <x:c r="E440" s="98" t="str">
        <x:v>EOA_CANDIDATE</x:v>
      </x:c>
      <x:c r="F440" s="91" t="b">
        <x:v>0</x:v>
      </x:c>
      <x:c r="G440" s="89" t="n">
        <x:v>0</x:v>
      </x:c>
      <x:c r="H440" s="90" t="str">
        <x:v>3871100000000</x:v>
      </x:c>
      <x:c r="I440" s="92" t="n">
        <x:v>3.8711</x:v>
      </x:c>
      <x:c r="J440" s="92" t="str">
        <x:v>3871100000000000000</x:v>
      </x:c>
      <x:c r="K440" s="92" t="n">
        <x:v>3.8711</x:v>
      </x:c>
      <x:c r="L440" s="98" t="str">
        <x:v>PENDING_OWNER_ELIGIBILITY_APPROVAL</x:v>
      </x:c>
      <x:c r="M440" s="98" t="b">
        <x:f>IF(E440="EOA_CANDIDATE",I440&gt;='Decision Summary'!$B$11,FALSE)</x:f>
        <x:v>0</x:v>
      </x:c>
      <x:c r="N440" s="98" t="str">
        <x:f>IF(M440,"DRAFT INCLUDE","HOLD / EXCLUDE")</x:f>
        <x:v>HOLD / EXCLUDE</x:v>
      </x:c>
      <x:c r="O440" s="101" t="str">
        <x:f>IF(M440,C440,"")</x:f>
      </x:c>
      <x:c r="P440" s="98" t="str">
        <x:f>IF(N440="DRAFT INCLUDE",ROUNDUP(COUNTIF($N$6:N440,"DRAFT INCLUDE")/'Decision Summary'!$B$12,0),"")</x:f>
      </x:c>
      <x:c r="Q440" s="98" t="str">
        <x:f>IF(N440="DRAFT INCLUDE",MOD(COUNTIF($N$6:N440,"DRAFT INCLUDE")-1,'Decision Summary'!$B$12)+1,"")</x:f>
      </x:c>
      <x:c r="R440" s="98" t="str">
        <x:v>PENDING</x:v>
      </x:c>
      <x:c r="S440" s="98" t="str"/>
      <x:c r="T440" s="98" t="str">
        <x:v>Ordinary EOA candidate; inclusion still depends on V1 deprecation, threshold policy and owner approval.</x:v>
      </x:c>
      <x:c r="U440" s="89" t="str">
        <x:v>https://etherscan.io/token/0x445d03f499f1c150615957bb87588fb465fc91cc#balances</x:v>
      </x:c>
      <x:c r="V440" s="89" t="b">
        <x:f>COUNTIF($C$6:$C$502,C440)&gt;1</x:f>
        <x:v>0</x:v>
      </x:c>
    </x:row>
    <x:row r="441">
      <x:c r="A441" s="89" t="n">
        <x:v>436</x:v>
      </x:c>
      <x:c r="B441" s="89" t="str">
        <x:v>v1-mainnet-0436</x:v>
      </x:c>
      <x:c r="C441" s="90" t="str">
        <x:v>0x66e253d9f6f722c34c5d4aa0a59e5b8e65f7248b</x:v>
      </x:c>
      <x:c r="D441" s="98" t="str"/>
      <x:c r="E441" s="98" t="str">
        <x:v>EOA_CANDIDATE</x:v>
      </x:c>
      <x:c r="F441" s="91" t="b">
        <x:v>0</x:v>
      </x:c>
      <x:c r="G441" s="89" t="n">
        <x:v>0</x:v>
      </x:c>
      <x:c r="H441" s="90" t="str">
        <x:v>3854400000000</x:v>
      </x:c>
      <x:c r="I441" s="92" t="n">
        <x:v>3.8544</x:v>
      </x:c>
      <x:c r="J441" s="92" t="str">
        <x:v>3854400000000000000</x:v>
      </x:c>
      <x:c r="K441" s="92" t="n">
        <x:v>3.8544</x:v>
      </x:c>
      <x:c r="L441" s="98" t="str">
        <x:v>PENDING_OWNER_ELIGIBILITY_APPROVAL</x:v>
      </x:c>
      <x:c r="M441" s="98" t="b">
        <x:f>IF(E441="EOA_CANDIDATE",I441&gt;='Decision Summary'!$B$11,FALSE)</x:f>
        <x:v>0</x:v>
      </x:c>
      <x:c r="N441" s="98" t="str">
        <x:f>IF(M441,"DRAFT INCLUDE","HOLD / EXCLUDE")</x:f>
        <x:v>HOLD / EXCLUDE</x:v>
      </x:c>
      <x:c r="O441" s="101" t="str">
        <x:f>IF(M441,C441,"")</x:f>
      </x:c>
      <x:c r="P441" s="98" t="str">
        <x:f>IF(N441="DRAFT INCLUDE",ROUNDUP(COUNTIF($N$6:N441,"DRAFT INCLUDE")/'Decision Summary'!$B$12,0),"")</x:f>
      </x:c>
      <x:c r="Q441" s="98" t="str">
        <x:f>IF(N441="DRAFT INCLUDE",MOD(COUNTIF($N$6:N441,"DRAFT INCLUDE")-1,'Decision Summary'!$B$12)+1,"")</x:f>
      </x:c>
      <x:c r="R441" s="98" t="str">
        <x:v>PENDING</x:v>
      </x:c>
      <x:c r="S441" s="98" t="str"/>
      <x:c r="T441" s="98" t="str">
        <x:v>Ordinary EOA candidate; inclusion still depends on V1 deprecation, threshold policy and owner approval.</x:v>
      </x:c>
      <x:c r="U441" s="89" t="str">
        <x:v>https://etherscan.io/token/0x445d03f499f1c150615957bb87588fb465fc91cc#balances</x:v>
      </x:c>
      <x:c r="V441" s="89" t="b">
        <x:f>COUNTIF($C$6:$C$502,C441)&gt;1</x:f>
        <x:v>0</x:v>
      </x:c>
    </x:row>
    <x:row r="442">
      <x:c r="A442" s="89" t="n">
        <x:v>437</x:v>
      </x:c>
      <x:c r="B442" s="89" t="str">
        <x:v>v1-mainnet-0437</x:v>
      </x:c>
      <x:c r="C442" s="90" t="str">
        <x:v>0x53f4e95e0eca7230f48caa664581cfa15d03341e</x:v>
      </x:c>
      <x:c r="D442" s="98" t="str"/>
      <x:c r="E442" s="98" t="str">
        <x:v>EOA_CANDIDATE</x:v>
      </x:c>
      <x:c r="F442" s="91" t="b">
        <x:v>0</x:v>
      </x:c>
      <x:c r="G442" s="89" t="n">
        <x:v>0</x:v>
      </x:c>
      <x:c r="H442" s="90" t="str">
        <x:v>3848000000000</x:v>
      </x:c>
      <x:c r="I442" s="92" t="n">
        <x:v>3.848</x:v>
      </x:c>
      <x:c r="J442" s="92" t="str">
        <x:v>3848000000000000000</x:v>
      </x:c>
      <x:c r="K442" s="92" t="n">
        <x:v>3.848</x:v>
      </x:c>
      <x:c r="L442" s="98" t="str">
        <x:v>PENDING_OWNER_ELIGIBILITY_APPROVAL</x:v>
      </x:c>
      <x:c r="M442" s="98" t="b">
        <x:f>IF(E442="EOA_CANDIDATE",I442&gt;='Decision Summary'!$B$11,FALSE)</x:f>
        <x:v>0</x:v>
      </x:c>
      <x:c r="N442" s="98" t="str">
        <x:f>IF(M442,"DRAFT INCLUDE","HOLD / EXCLUDE")</x:f>
        <x:v>HOLD / EXCLUDE</x:v>
      </x:c>
      <x:c r="O442" s="101" t="str">
        <x:f>IF(M442,C442,"")</x:f>
      </x:c>
      <x:c r="P442" s="98" t="str">
        <x:f>IF(N442="DRAFT INCLUDE",ROUNDUP(COUNTIF($N$6:N442,"DRAFT INCLUDE")/'Decision Summary'!$B$12,0),"")</x:f>
      </x:c>
      <x:c r="Q442" s="98" t="str">
        <x:f>IF(N442="DRAFT INCLUDE",MOD(COUNTIF($N$6:N442,"DRAFT INCLUDE")-1,'Decision Summary'!$B$12)+1,"")</x:f>
      </x:c>
      <x:c r="R442" s="98" t="str">
        <x:v>PENDING</x:v>
      </x:c>
      <x:c r="S442" s="98" t="str"/>
      <x:c r="T442" s="98" t="str">
        <x:v>Ordinary EOA candidate; inclusion still depends on V1 deprecation, threshold policy and owner approval.</x:v>
      </x:c>
      <x:c r="U442" s="89" t="str">
        <x:v>https://etherscan.io/token/0x445d03f499f1c150615957bb87588fb465fc91cc#balances</x:v>
      </x:c>
      <x:c r="V442" s="89" t="b">
        <x:f>COUNTIF($C$6:$C$502,C442)&gt;1</x:f>
        <x:v>0</x:v>
      </x:c>
    </x:row>
    <x:row r="443">
      <x:c r="A443" s="89" t="n">
        <x:v>438</x:v>
      </x:c>
      <x:c r="B443" s="89" t="str">
        <x:v>v1-mainnet-0438</x:v>
      </x:c>
      <x:c r="C443" s="90" t="str">
        <x:v>0xb474d26b4c05a0db38d3d7b18a7347032114882b</x:v>
      </x:c>
      <x:c r="D443" s="98" t="str"/>
      <x:c r="E443" s="98" t="str">
        <x:v>EOA_CANDIDATE</x:v>
      </x:c>
      <x:c r="F443" s="91" t="b">
        <x:v>0</x:v>
      </x:c>
      <x:c r="G443" s="89" t="n">
        <x:v>0</x:v>
      </x:c>
      <x:c r="H443" s="90" t="str">
        <x:v>3845800000000</x:v>
      </x:c>
      <x:c r="I443" s="92" t="n">
        <x:v>3.8458</x:v>
      </x:c>
      <x:c r="J443" s="92" t="str">
        <x:v>3845800000000000000</x:v>
      </x:c>
      <x:c r="K443" s="92" t="n">
        <x:v>3.8458</x:v>
      </x:c>
      <x:c r="L443" s="98" t="str">
        <x:v>PENDING_OWNER_ELIGIBILITY_APPROVAL</x:v>
      </x:c>
      <x:c r="M443" s="98" t="b">
        <x:f>IF(E443="EOA_CANDIDATE",I443&gt;='Decision Summary'!$B$11,FALSE)</x:f>
        <x:v>0</x:v>
      </x:c>
      <x:c r="N443" s="98" t="str">
        <x:f>IF(M443,"DRAFT INCLUDE","HOLD / EXCLUDE")</x:f>
        <x:v>HOLD / EXCLUDE</x:v>
      </x:c>
      <x:c r="O443" s="101" t="str">
        <x:f>IF(M443,C443,"")</x:f>
      </x:c>
      <x:c r="P443" s="98" t="str">
        <x:f>IF(N443="DRAFT INCLUDE",ROUNDUP(COUNTIF($N$6:N443,"DRAFT INCLUDE")/'Decision Summary'!$B$12,0),"")</x:f>
      </x:c>
      <x:c r="Q443" s="98" t="str">
        <x:f>IF(N443="DRAFT INCLUDE",MOD(COUNTIF($N$6:N443,"DRAFT INCLUDE")-1,'Decision Summary'!$B$12)+1,"")</x:f>
      </x:c>
      <x:c r="R443" s="98" t="str">
        <x:v>PENDING</x:v>
      </x:c>
      <x:c r="S443" s="98" t="str"/>
      <x:c r="T443" s="98" t="str">
        <x:v>Ordinary EOA candidate; inclusion still depends on V1 deprecation, threshold policy and owner approval.</x:v>
      </x:c>
      <x:c r="U443" s="89" t="str">
        <x:v>https://etherscan.io/token/0x445d03f499f1c150615957bb87588fb465fc91cc#balances</x:v>
      </x:c>
      <x:c r="V443" s="89" t="b">
        <x:f>COUNTIF($C$6:$C$502,C443)&gt;1</x:f>
        <x:v>0</x:v>
      </x:c>
    </x:row>
    <x:row r="444">
      <x:c r="A444" s="89" t="n">
        <x:v>439</x:v>
      </x:c>
      <x:c r="B444" s="89" t="str">
        <x:v>v1-mainnet-0439</x:v>
      </x:c>
      <x:c r="C444" s="90" t="str">
        <x:v>0x1dedcca088efdb26ec79677525f84beaa9a9d7d3</x:v>
      </x:c>
      <x:c r="D444" s="98" t="str"/>
      <x:c r="E444" s="98" t="str">
        <x:v>EOA_CANDIDATE</x:v>
      </x:c>
      <x:c r="F444" s="91" t="b">
        <x:v>0</x:v>
      </x:c>
      <x:c r="G444" s="89" t="n">
        <x:v>0</x:v>
      </x:c>
      <x:c r="H444" s="90" t="str">
        <x:v>3841700000000</x:v>
      </x:c>
      <x:c r="I444" s="92" t="n">
        <x:v>3.8417</x:v>
      </x:c>
      <x:c r="J444" s="92" t="str">
        <x:v>3841700000000000000</x:v>
      </x:c>
      <x:c r="K444" s="92" t="n">
        <x:v>3.8417</x:v>
      </x:c>
      <x:c r="L444" s="98" t="str">
        <x:v>PENDING_OWNER_ELIGIBILITY_APPROVAL</x:v>
      </x:c>
      <x:c r="M444" s="98" t="b">
        <x:f>IF(E444="EOA_CANDIDATE",I444&gt;='Decision Summary'!$B$11,FALSE)</x:f>
        <x:v>0</x:v>
      </x:c>
      <x:c r="N444" s="98" t="str">
        <x:f>IF(M444,"DRAFT INCLUDE","HOLD / EXCLUDE")</x:f>
        <x:v>HOLD / EXCLUDE</x:v>
      </x:c>
      <x:c r="O444" s="101" t="str">
        <x:f>IF(M444,C444,"")</x:f>
      </x:c>
      <x:c r="P444" s="98" t="str">
        <x:f>IF(N444="DRAFT INCLUDE",ROUNDUP(COUNTIF($N$6:N444,"DRAFT INCLUDE")/'Decision Summary'!$B$12,0),"")</x:f>
      </x:c>
      <x:c r="Q444" s="98" t="str">
        <x:f>IF(N444="DRAFT INCLUDE",MOD(COUNTIF($N$6:N444,"DRAFT INCLUDE")-1,'Decision Summary'!$B$12)+1,"")</x:f>
      </x:c>
      <x:c r="R444" s="98" t="str">
        <x:v>PENDING</x:v>
      </x:c>
      <x:c r="S444" s="98" t="str"/>
      <x:c r="T444" s="98" t="str">
        <x:v>Ordinary EOA candidate; inclusion still depends on V1 deprecation, threshold policy and owner approval.</x:v>
      </x:c>
      <x:c r="U444" s="89" t="str">
        <x:v>https://etherscan.io/token/0x445d03f499f1c150615957bb87588fb465fc91cc#balances</x:v>
      </x:c>
      <x:c r="V444" s="89" t="b">
        <x:f>COUNTIF($C$6:$C$502,C444)&gt;1</x:f>
        <x:v>0</x:v>
      </x:c>
    </x:row>
    <x:row r="445">
      <x:c r="A445" s="89" t="n">
        <x:v>440</x:v>
      </x:c>
      <x:c r="B445" s="89" t="str">
        <x:v>v1-mainnet-0440</x:v>
      </x:c>
      <x:c r="C445" s="90" t="str">
        <x:v>0xb7b4fef92e989146ae63313a2bab9c63cbb60ae0</x:v>
      </x:c>
      <x:c r="D445" s="98" t="str"/>
      <x:c r="E445" s="98" t="str">
        <x:v>EOA_CANDIDATE</x:v>
      </x:c>
      <x:c r="F445" s="91" t="b">
        <x:v>0</x:v>
      </x:c>
      <x:c r="G445" s="89" t="n">
        <x:v>0</x:v>
      </x:c>
      <x:c r="H445" s="90" t="str">
        <x:v>3782400000000</x:v>
      </x:c>
      <x:c r="I445" s="92" t="n">
        <x:v>3.7824</x:v>
      </x:c>
      <x:c r="J445" s="92" t="str">
        <x:v>3782400000000000000</x:v>
      </x:c>
      <x:c r="K445" s="92" t="n">
        <x:v>3.7824</x:v>
      </x:c>
      <x:c r="L445" s="98" t="str">
        <x:v>PENDING_OWNER_ELIGIBILITY_APPROVAL</x:v>
      </x:c>
      <x:c r="M445" s="98" t="b">
        <x:f>IF(E445="EOA_CANDIDATE",I445&gt;='Decision Summary'!$B$11,FALSE)</x:f>
        <x:v>0</x:v>
      </x:c>
      <x:c r="N445" s="98" t="str">
        <x:f>IF(M445,"DRAFT INCLUDE","HOLD / EXCLUDE")</x:f>
        <x:v>HOLD / EXCLUDE</x:v>
      </x:c>
      <x:c r="O445" s="101" t="str">
        <x:f>IF(M445,C445,"")</x:f>
      </x:c>
      <x:c r="P445" s="98" t="str">
        <x:f>IF(N445="DRAFT INCLUDE",ROUNDUP(COUNTIF($N$6:N445,"DRAFT INCLUDE")/'Decision Summary'!$B$12,0),"")</x:f>
      </x:c>
      <x:c r="Q445" s="98" t="str">
        <x:f>IF(N445="DRAFT INCLUDE",MOD(COUNTIF($N$6:N445,"DRAFT INCLUDE")-1,'Decision Summary'!$B$12)+1,"")</x:f>
      </x:c>
      <x:c r="R445" s="98" t="str">
        <x:v>PENDING</x:v>
      </x:c>
      <x:c r="S445" s="98" t="str"/>
      <x:c r="T445" s="98" t="str">
        <x:v>Ordinary EOA candidate; inclusion still depends on V1 deprecation, threshold policy and owner approval.</x:v>
      </x:c>
      <x:c r="U445" s="89" t="str">
        <x:v>https://etherscan.io/token/0x445d03f499f1c150615957bb87588fb465fc91cc#balances</x:v>
      </x:c>
      <x:c r="V445" s="89" t="b">
        <x:f>COUNTIF($C$6:$C$502,C445)&gt;1</x:f>
        <x:v>0</x:v>
      </x:c>
    </x:row>
    <x:row r="446">
      <x:c r="A446" s="89" t="n">
        <x:v>441</x:v>
      </x:c>
      <x:c r="B446" s="89" t="str">
        <x:v>v1-mainnet-0441</x:v>
      </x:c>
      <x:c r="C446" s="90" t="str">
        <x:v>0xaa0082e666a0eeac48635f73c878d0eb64c8a67c</x:v>
      </x:c>
      <x:c r="D446" s="98" t="str"/>
      <x:c r="E446" s="98" t="str">
        <x:v>EOA_CANDIDATE</x:v>
      </x:c>
      <x:c r="F446" s="91" t="b">
        <x:v>0</x:v>
      </x:c>
      <x:c r="G446" s="89" t="n">
        <x:v>0</x:v>
      </x:c>
      <x:c r="H446" s="90" t="str">
        <x:v>3768300000000</x:v>
      </x:c>
      <x:c r="I446" s="92" t="n">
        <x:v>3.7683</x:v>
      </x:c>
      <x:c r="J446" s="92" t="str">
        <x:v>3768300000000000000</x:v>
      </x:c>
      <x:c r="K446" s="92" t="n">
        <x:v>3.7683</x:v>
      </x:c>
      <x:c r="L446" s="98" t="str">
        <x:v>PENDING_OWNER_ELIGIBILITY_APPROVAL</x:v>
      </x:c>
      <x:c r="M446" s="98" t="b">
        <x:f>IF(E446="EOA_CANDIDATE",I446&gt;='Decision Summary'!$B$11,FALSE)</x:f>
        <x:v>0</x:v>
      </x:c>
      <x:c r="N446" s="98" t="str">
        <x:f>IF(M446,"DRAFT INCLUDE","HOLD / EXCLUDE")</x:f>
        <x:v>HOLD / EXCLUDE</x:v>
      </x:c>
      <x:c r="O446" s="101" t="str">
        <x:f>IF(M446,C446,"")</x:f>
      </x:c>
      <x:c r="P446" s="98" t="str">
        <x:f>IF(N446="DRAFT INCLUDE",ROUNDUP(COUNTIF($N$6:N446,"DRAFT INCLUDE")/'Decision Summary'!$B$12,0),"")</x:f>
      </x:c>
      <x:c r="Q446" s="98" t="str">
        <x:f>IF(N446="DRAFT INCLUDE",MOD(COUNTIF($N$6:N446,"DRAFT INCLUDE")-1,'Decision Summary'!$B$12)+1,"")</x:f>
      </x:c>
      <x:c r="R446" s="98" t="str">
        <x:v>PENDING</x:v>
      </x:c>
      <x:c r="S446" s="98" t="str"/>
      <x:c r="T446" s="98" t="str">
        <x:v>Ordinary EOA candidate; inclusion still depends on V1 deprecation, threshold policy and owner approval.</x:v>
      </x:c>
      <x:c r="U446" s="89" t="str">
        <x:v>https://etherscan.io/token/0x445d03f499f1c150615957bb87588fb465fc91cc#balances</x:v>
      </x:c>
      <x:c r="V446" s="89" t="b">
        <x:f>COUNTIF($C$6:$C$502,C446)&gt;1</x:f>
        <x:v>0</x:v>
      </x:c>
    </x:row>
    <x:row r="447">
      <x:c r="A447" s="89" t="n">
        <x:v>442</x:v>
      </x:c>
      <x:c r="B447" s="89" t="str">
        <x:v>v1-mainnet-0442</x:v>
      </x:c>
      <x:c r="C447" s="90" t="str">
        <x:v>0x0c90eb0cba1b4cdf05191f807f5fbf14909a52e1</x:v>
      </x:c>
      <x:c r="D447" s="98" t="str"/>
      <x:c r="E447" s="98" t="str">
        <x:v>EOA_CANDIDATE</x:v>
      </x:c>
      <x:c r="F447" s="91" t="b">
        <x:v>0</x:v>
      </x:c>
      <x:c r="G447" s="89" t="n">
        <x:v>0</x:v>
      </x:c>
      <x:c r="H447" s="90" t="str">
        <x:v>3731200000000</x:v>
      </x:c>
      <x:c r="I447" s="92" t="n">
        <x:v>3.7312</x:v>
      </x:c>
      <x:c r="J447" s="92" t="str">
        <x:v>3731200000000000000</x:v>
      </x:c>
      <x:c r="K447" s="92" t="n">
        <x:v>3.7312</x:v>
      </x:c>
      <x:c r="L447" s="98" t="str">
        <x:v>PENDING_OWNER_ELIGIBILITY_APPROVAL</x:v>
      </x:c>
      <x:c r="M447" s="98" t="b">
        <x:f>IF(E447="EOA_CANDIDATE",I447&gt;='Decision Summary'!$B$11,FALSE)</x:f>
        <x:v>0</x:v>
      </x:c>
      <x:c r="N447" s="98" t="str">
        <x:f>IF(M447,"DRAFT INCLUDE","HOLD / EXCLUDE")</x:f>
        <x:v>HOLD / EXCLUDE</x:v>
      </x:c>
      <x:c r="O447" s="101" t="str">
        <x:f>IF(M447,C447,"")</x:f>
      </x:c>
      <x:c r="P447" s="98" t="str">
        <x:f>IF(N447="DRAFT INCLUDE",ROUNDUP(COUNTIF($N$6:N447,"DRAFT INCLUDE")/'Decision Summary'!$B$12,0),"")</x:f>
      </x:c>
      <x:c r="Q447" s="98" t="str">
        <x:f>IF(N447="DRAFT INCLUDE",MOD(COUNTIF($N$6:N447,"DRAFT INCLUDE")-1,'Decision Summary'!$B$12)+1,"")</x:f>
      </x:c>
      <x:c r="R447" s="98" t="str">
        <x:v>PENDING</x:v>
      </x:c>
      <x:c r="S447" s="98" t="str"/>
      <x:c r="T447" s="98" t="str">
        <x:v>Ordinary EOA candidate; inclusion still depends on V1 deprecation, threshold policy and owner approval.</x:v>
      </x:c>
      <x:c r="U447" s="89" t="str">
        <x:v>https://etherscan.io/token/0x445d03f499f1c150615957bb87588fb465fc91cc#balances</x:v>
      </x:c>
      <x:c r="V447" s="89" t="b">
        <x:f>COUNTIF($C$6:$C$502,C447)&gt;1</x:f>
        <x:v>0</x:v>
      </x:c>
    </x:row>
    <x:row r="448">
      <x:c r="A448" s="89" t="n">
        <x:v>443</x:v>
      </x:c>
      <x:c r="B448" s="89" t="str">
        <x:v>v1-mainnet-0443</x:v>
      </x:c>
      <x:c r="C448" s="90" t="str">
        <x:v>0x06f4b49d7bca043a9ba633b6dbbd73219beca3e8</x:v>
      </x:c>
      <x:c r="D448" s="98" t="str"/>
      <x:c r="E448" s="98" t="str">
        <x:v>EOA_CANDIDATE</x:v>
      </x:c>
      <x:c r="F448" s="91" t="b">
        <x:v>0</x:v>
      </x:c>
      <x:c r="G448" s="89" t="n">
        <x:v>0</x:v>
      </x:c>
      <x:c r="H448" s="90" t="str">
        <x:v>3711300000000</x:v>
      </x:c>
      <x:c r="I448" s="92" t="n">
        <x:v>3.7113</x:v>
      </x:c>
      <x:c r="J448" s="92" t="str">
        <x:v>3711300000000000000</x:v>
      </x:c>
      <x:c r="K448" s="92" t="n">
        <x:v>3.7113</x:v>
      </x:c>
      <x:c r="L448" s="98" t="str">
        <x:v>PENDING_OWNER_ELIGIBILITY_APPROVAL</x:v>
      </x:c>
      <x:c r="M448" s="98" t="b">
        <x:f>IF(E448="EOA_CANDIDATE",I448&gt;='Decision Summary'!$B$11,FALSE)</x:f>
        <x:v>0</x:v>
      </x:c>
      <x:c r="N448" s="98" t="str">
        <x:f>IF(M448,"DRAFT INCLUDE","HOLD / EXCLUDE")</x:f>
        <x:v>HOLD / EXCLUDE</x:v>
      </x:c>
      <x:c r="O448" s="101" t="str">
        <x:f>IF(M448,C448,"")</x:f>
      </x:c>
      <x:c r="P448" s="98" t="str">
        <x:f>IF(N448="DRAFT INCLUDE",ROUNDUP(COUNTIF($N$6:N448,"DRAFT INCLUDE")/'Decision Summary'!$B$12,0),"")</x:f>
      </x:c>
      <x:c r="Q448" s="98" t="str">
        <x:f>IF(N448="DRAFT INCLUDE",MOD(COUNTIF($N$6:N448,"DRAFT INCLUDE")-1,'Decision Summary'!$B$12)+1,"")</x:f>
      </x:c>
      <x:c r="R448" s="98" t="str">
        <x:v>PENDING</x:v>
      </x:c>
      <x:c r="S448" s="98" t="str"/>
      <x:c r="T448" s="98" t="str">
        <x:v>Ordinary EOA candidate; inclusion still depends on V1 deprecation, threshold policy and owner approval.</x:v>
      </x:c>
      <x:c r="U448" s="89" t="str">
        <x:v>https://etherscan.io/token/0x445d03f499f1c150615957bb87588fb465fc91cc#balances</x:v>
      </x:c>
      <x:c r="V448" s="89" t="b">
        <x:f>COUNTIF($C$6:$C$502,C448)&gt;1</x:f>
        <x:v>0</x:v>
      </x:c>
    </x:row>
    <x:row r="449">
      <x:c r="A449" s="89" t="n">
        <x:v>444</x:v>
      </x:c>
      <x:c r="B449" s="89" t="str">
        <x:v>v1-mainnet-0444</x:v>
      </x:c>
      <x:c r="C449" s="90" t="str">
        <x:v>0x744d74e3e6f81da369760b6810fb5d3eff8d0a48</x:v>
      </x:c>
      <x:c r="D449" s="98" t="str"/>
      <x:c r="E449" s="98" t="str">
        <x:v>EOA_CANDIDATE</x:v>
      </x:c>
      <x:c r="F449" s="91" t="b">
        <x:v>0</x:v>
      </x:c>
      <x:c r="G449" s="89" t="n">
        <x:v>0</x:v>
      </x:c>
      <x:c r="H449" s="90" t="str">
        <x:v>3710000000000</x:v>
      </x:c>
      <x:c r="I449" s="92" t="n">
        <x:v>3.71</x:v>
      </x:c>
      <x:c r="J449" s="92" t="str">
        <x:v>3710000000000000000</x:v>
      </x:c>
      <x:c r="K449" s="92" t="n">
        <x:v>3.71</x:v>
      </x:c>
      <x:c r="L449" s="98" t="str">
        <x:v>PENDING_OWNER_ELIGIBILITY_APPROVAL</x:v>
      </x:c>
      <x:c r="M449" s="98" t="b">
        <x:f>IF(E449="EOA_CANDIDATE",I449&gt;='Decision Summary'!$B$11,FALSE)</x:f>
        <x:v>0</x:v>
      </x:c>
      <x:c r="N449" s="98" t="str">
        <x:f>IF(M449,"DRAFT INCLUDE","HOLD / EXCLUDE")</x:f>
        <x:v>HOLD / EXCLUDE</x:v>
      </x:c>
      <x:c r="O449" s="101" t="str">
        <x:f>IF(M449,C449,"")</x:f>
      </x:c>
      <x:c r="P449" s="98" t="str">
        <x:f>IF(N449="DRAFT INCLUDE",ROUNDUP(COUNTIF($N$6:N449,"DRAFT INCLUDE")/'Decision Summary'!$B$12,0),"")</x:f>
      </x:c>
      <x:c r="Q449" s="98" t="str">
        <x:f>IF(N449="DRAFT INCLUDE",MOD(COUNTIF($N$6:N449,"DRAFT INCLUDE")-1,'Decision Summary'!$B$12)+1,"")</x:f>
      </x:c>
      <x:c r="R449" s="98" t="str">
        <x:v>PENDING</x:v>
      </x:c>
      <x:c r="S449" s="98" t="str"/>
      <x:c r="T449" s="98" t="str">
        <x:v>Ordinary EOA candidate; inclusion still depends on V1 deprecation, threshold policy and owner approval.</x:v>
      </x:c>
      <x:c r="U449" s="89" t="str">
        <x:v>https://etherscan.io/token/0x445d03f499f1c150615957bb87588fb465fc91cc#balances</x:v>
      </x:c>
      <x:c r="V449" s="89" t="b">
        <x:f>COUNTIF($C$6:$C$502,C449)&gt;1</x:f>
        <x:v>0</x:v>
      </x:c>
    </x:row>
    <x:row r="450">
      <x:c r="A450" s="89" t="n">
        <x:v>445</x:v>
      </x:c>
      <x:c r="B450" s="89" t="str">
        <x:v>v1-mainnet-0445</x:v>
      </x:c>
      <x:c r="C450" s="90" t="str">
        <x:v>0xb92332379346c8d03767dbf80824f74336f44ff6</x:v>
      </x:c>
      <x:c r="D450" s="98" t="str"/>
      <x:c r="E450" s="98" t="str">
        <x:v>EOA_CANDIDATE</x:v>
      </x:c>
      <x:c r="F450" s="91" t="b">
        <x:v>0</x:v>
      </x:c>
      <x:c r="G450" s="89" t="n">
        <x:v>0</x:v>
      </x:c>
      <x:c r="H450" s="90" t="str">
        <x:v>3705100000000</x:v>
      </x:c>
      <x:c r="I450" s="92" t="n">
        <x:v>3.7051</x:v>
      </x:c>
      <x:c r="J450" s="92" t="str">
        <x:v>3705100000000000000</x:v>
      </x:c>
      <x:c r="K450" s="92" t="n">
        <x:v>3.7051</x:v>
      </x:c>
      <x:c r="L450" s="98" t="str">
        <x:v>PENDING_OWNER_ELIGIBILITY_APPROVAL</x:v>
      </x:c>
      <x:c r="M450" s="98" t="b">
        <x:f>IF(E450="EOA_CANDIDATE",I450&gt;='Decision Summary'!$B$11,FALSE)</x:f>
        <x:v>0</x:v>
      </x:c>
      <x:c r="N450" s="98" t="str">
        <x:f>IF(M450,"DRAFT INCLUDE","HOLD / EXCLUDE")</x:f>
        <x:v>HOLD / EXCLUDE</x:v>
      </x:c>
      <x:c r="O450" s="101" t="str">
        <x:f>IF(M450,C450,"")</x:f>
      </x:c>
      <x:c r="P450" s="98" t="str">
        <x:f>IF(N450="DRAFT INCLUDE",ROUNDUP(COUNTIF($N$6:N450,"DRAFT INCLUDE")/'Decision Summary'!$B$12,0),"")</x:f>
      </x:c>
      <x:c r="Q450" s="98" t="str">
        <x:f>IF(N450="DRAFT INCLUDE",MOD(COUNTIF($N$6:N450,"DRAFT INCLUDE")-1,'Decision Summary'!$B$12)+1,"")</x:f>
      </x:c>
      <x:c r="R450" s="98" t="str">
        <x:v>PENDING</x:v>
      </x:c>
      <x:c r="S450" s="98" t="str"/>
      <x:c r="T450" s="98" t="str">
        <x:v>Ordinary EOA candidate; inclusion still depends on V1 deprecation, threshold policy and owner approval.</x:v>
      </x:c>
      <x:c r="U450" s="89" t="str">
        <x:v>https://etherscan.io/token/0x445d03f499f1c150615957bb87588fb465fc91cc#balances</x:v>
      </x:c>
      <x:c r="V450" s="89" t="b">
        <x:f>COUNTIF($C$6:$C$502,C450)&gt;1</x:f>
        <x:v>0</x:v>
      </x:c>
    </x:row>
    <x:row r="451">
      <x:c r="A451" s="89" t="n">
        <x:v>446</x:v>
      </x:c>
      <x:c r="B451" s="89" t="str">
        <x:v>v1-mainnet-0446</x:v>
      </x:c>
      <x:c r="C451" s="90" t="str">
        <x:v>0xfbacf485fa20d77eff034163a06e3cd1d4962530</x:v>
      </x:c>
      <x:c r="D451" s="98" t="str"/>
      <x:c r="E451" s="98" t="str">
        <x:v>EOA_CANDIDATE</x:v>
      </x:c>
      <x:c r="F451" s="91" t="b">
        <x:v>0</x:v>
      </x:c>
      <x:c r="G451" s="89" t="n">
        <x:v>0</x:v>
      </x:c>
      <x:c r="H451" s="90" t="str">
        <x:v>3700800000000</x:v>
      </x:c>
      <x:c r="I451" s="92" t="n">
        <x:v>3.7008</x:v>
      </x:c>
      <x:c r="J451" s="92" t="str">
        <x:v>3700800000000000000</x:v>
      </x:c>
      <x:c r="K451" s="92" t="n">
        <x:v>3.7008</x:v>
      </x:c>
      <x:c r="L451" s="98" t="str">
        <x:v>PENDING_OWNER_ELIGIBILITY_APPROVAL</x:v>
      </x:c>
      <x:c r="M451" s="98" t="b">
        <x:f>IF(E451="EOA_CANDIDATE",I451&gt;='Decision Summary'!$B$11,FALSE)</x:f>
        <x:v>0</x:v>
      </x:c>
      <x:c r="N451" s="98" t="str">
        <x:f>IF(M451,"DRAFT INCLUDE","HOLD / EXCLUDE")</x:f>
        <x:v>HOLD / EXCLUDE</x:v>
      </x:c>
      <x:c r="O451" s="101" t="str">
        <x:f>IF(M451,C451,"")</x:f>
      </x:c>
      <x:c r="P451" s="98" t="str">
        <x:f>IF(N451="DRAFT INCLUDE",ROUNDUP(COUNTIF($N$6:N451,"DRAFT INCLUDE")/'Decision Summary'!$B$12,0),"")</x:f>
      </x:c>
      <x:c r="Q451" s="98" t="str">
        <x:f>IF(N451="DRAFT INCLUDE",MOD(COUNTIF($N$6:N451,"DRAFT INCLUDE")-1,'Decision Summary'!$B$12)+1,"")</x:f>
      </x:c>
      <x:c r="R451" s="98" t="str">
        <x:v>PENDING</x:v>
      </x:c>
      <x:c r="S451" s="98" t="str"/>
      <x:c r="T451" s="98" t="str">
        <x:v>Ordinary EOA candidate; inclusion still depends on V1 deprecation, threshold policy and owner approval.</x:v>
      </x:c>
      <x:c r="U451" s="89" t="str">
        <x:v>https://etherscan.io/token/0x445d03f499f1c150615957bb87588fb465fc91cc#balances</x:v>
      </x:c>
      <x:c r="V451" s="89" t="b">
        <x:f>COUNTIF($C$6:$C$502,C451)&gt;1</x:f>
        <x:v>0</x:v>
      </x:c>
    </x:row>
    <x:row r="452">
      <x:c r="A452" s="89" t="n">
        <x:v>447</x:v>
      </x:c>
      <x:c r="B452" s="89" t="str">
        <x:v>v1-mainnet-0447</x:v>
      </x:c>
      <x:c r="C452" s="90" t="str">
        <x:v>0x6c3a8f139bfebcecea8b03961a9530ed9e982c98</x:v>
      </x:c>
      <x:c r="D452" s="98" t="str"/>
      <x:c r="E452" s="98" t="str">
        <x:v>EOA_CANDIDATE</x:v>
      </x:c>
      <x:c r="F452" s="91" t="b">
        <x:v>0</x:v>
      </x:c>
      <x:c r="G452" s="89" t="n">
        <x:v>0</x:v>
      </x:c>
      <x:c r="H452" s="90" t="str">
        <x:v>3700300000000</x:v>
      </x:c>
      <x:c r="I452" s="92" t="n">
        <x:v>3.7003</x:v>
      </x:c>
      <x:c r="J452" s="92" t="str">
        <x:v>3700300000000000000</x:v>
      </x:c>
      <x:c r="K452" s="92" t="n">
        <x:v>3.7003</x:v>
      </x:c>
      <x:c r="L452" s="98" t="str">
        <x:v>PENDING_OWNER_ELIGIBILITY_APPROVAL</x:v>
      </x:c>
      <x:c r="M452" s="98" t="b">
        <x:f>IF(E452="EOA_CANDIDATE",I452&gt;='Decision Summary'!$B$11,FALSE)</x:f>
        <x:v>0</x:v>
      </x:c>
      <x:c r="N452" s="98" t="str">
        <x:f>IF(M452,"DRAFT INCLUDE","HOLD / EXCLUDE")</x:f>
        <x:v>HOLD / EXCLUDE</x:v>
      </x:c>
      <x:c r="O452" s="101" t="str">
        <x:f>IF(M452,C452,"")</x:f>
      </x:c>
      <x:c r="P452" s="98" t="str">
        <x:f>IF(N452="DRAFT INCLUDE",ROUNDUP(COUNTIF($N$6:N452,"DRAFT INCLUDE")/'Decision Summary'!$B$12,0),"")</x:f>
      </x:c>
      <x:c r="Q452" s="98" t="str">
        <x:f>IF(N452="DRAFT INCLUDE",MOD(COUNTIF($N$6:N452,"DRAFT INCLUDE")-1,'Decision Summary'!$B$12)+1,"")</x:f>
      </x:c>
      <x:c r="R452" s="98" t="str">
        <x:v>PENDING</x:v>
      </x:c>
      <x:c r="S452" s="98" t="str"/>
      <x:c r="T452" s="98" t="str">
        <x:v>Ordinary EOA candidate; inclusion still depends on V1 deprecation, threshold policy and owner approval.</x:v>
      </x:c>
      <x:c r="U452" s="89" t="str">
        <x:v>https://etherscan.io/token/0x445d03f499f1c150615957bb87588fb465fc91cc#balances</x:v>
      </x:c>
      <x:c r="V452" s="89" t="b">
        <x:f>COUNTIF($C$6:$C$502,C452)&gt;1</x:f>
        <x:v>0</x:v>
      </x:c>
    </x:row>
    <x:row r="453">
      <x:c r="A453" s="89" t="n">
        <x:v>448</x:v>
      </x:c>
      <x:c r="B453" s="89" t="str">
        <x:v>v1-mainnet-0448</x:v>
      </x:c>
      <x:c r="C453" s="90" t="str">
        <x:v>0x0931fda6830d4186db1346f4559746c0b3260933</x:v>
      </x:c>
      <x:c r="D453" s="98" t="str"/>
      <x:c r="E453" s="98" t="str">
        <x:v>EOA_CANDIDATE</x:v>
      </x:c>
      <x:c r="F453" s="91" t="b">
        <x:v>0</x:v>
      </x:c>
      <x:c r="G453" s="89" t="n">
        <x:v>0</x:v>
      </x:c>
      <x:c r="H453" s="90" t="str">
        <x:v>3694600000000</x:v>
      </x:c>
      <x:c r="I453" s="92" t="n">
        <x:v>3.6946</x:v>
      </x:c>
      <x:c r="J453" s="92" t="str">
        <x:v>3694600000000000000</x:v>
      </x:c>
      <x:c r="K453" s="92" t="n">
        <x:v>3.6946</x:v>
      </x:c>
      <x:c r="L453" s="98" t="str">
        <x:v>PENDING_OWNER_ELIGIBILITY_APPROVAL</x:v>
      </x:c>
      <x:c r="M453" s="98" t="b">
        <x:f>IF(E453="EOA_CANDIDATE",I453&gt;='Decision Summary'!$B$11,FALSE)</x:f>
        <x:v>0</x:v>
      </x:c>
      <x:c r="N453" s="98" t="str">
        <x:f>IF(M453,"DRAFT INCLUDE","HOLD / EXCLUDE")</x:f>
        <x:v>HOLD / EXCLUDE</x:v>
      </x:c>
      <x:c r="O453" s="101" t="str">
        <x:f>IF(M453,C453,"")</x:f>
      </x:c>
      <x:c r="P453" s="98" t="str">
        <x:f>IF(N453="DRAFT INCLUDE",ROUNDUP(COUNTIF($N$6:N453,"DRAFT INCLUDE")/'Decision Summary'!$B$12,0),"")</x:f>
      </x:c>
      <x:c r="Q453" s="98" t="str">
        <x:f>IF(N453="DRAFT INCLUDE",MOD(COUNTIF($N$6:N453,"DRAFT INCLUDE")-1,'Decision Summary'!$B$12)+1,"")</x:f>
      </x:c>
      <x:c r="R453" s="98" t="str">
        <x:v>PENDING</x:v>
      </x:c>
      <x:c r="S453" s="98" t="str"/>
      <x:c r="T453" s="98" t="str">
        <x:v>Ordinary EOA candidate; inclusion still depends on V1 deprecation, threshold policy and owner approval.</x:v>
      </x:c>
      <x:c r="U453" s="89" t="str">
        <x:v>https://etherscan.io/token/0x445d03f499f1c150615957bb87588fb465fc91cc#balances</x:v>
      </x:c>
      <x:c r="V453" s="89" t="b">
        <x:f>COUNTIF($C$6:$C$502,C453)&gt;1</x:f>
        <x:v>0</x:v>
      </x:c>
    </x:row>
    <x:row r="454">
      <x:c r="A454" s="89" t="n">
        <x:v>449</x:v>
      </x:c>
      <x:c r="B454" s="89" t="str">
        <x:v>v1-mainnet-0449</x:v>
      </x:c>
      <x:c r="C454" s="90" t="str">
        <x:v>0x9288a11487bc9b9a8a6164ba451c6ca430928eee</x:v>
      </x:c>
      <x:c r="D454" s="98" t="str"/>
      <x:c r="E454" s="98" t="str">
        <x:v>EOA_CANDIDATE</x:v>
      </x:c>
      <x:c r="F454" s="91" t="b">
        <x:v>0</x:v>
      </x:c>
      <x:c r="G454" s="89" t="n">
        <x:v>0</x:v>
      </x:c>
      <x:c r="H454" s="90" t="str">
        <x:v>3672400000000</x:v>
      </x:c>
      <x:c r="I454" s="92" t="n">
        <x:v>3.6724</x:v>
      </x:c>
      <x:c r="J454" s="92" t="str">
        <x:v>3672400000000000000</x:v>
      </x:c>
      <x:c r="K454" s="92" t="n">
        <x:v>3.6724</x:v>
      </x:c>
      <x:c r="L454" s="98" t="str">
        <x:v>PENDING_OWNER_ELIGIBILITY_APPROVAL</x:v>
      </x:c>
      <x:c r="M454" s="98" t="b">
        <x:f>IF(E454="EOA_CANDIDATE",I454&gt;='Decision Summary'!$B$11,FALSE)</x:f>
        <x:v>0</x:v>
      </x:c>
      <x:c r="N454" s="98" t="str">
        <x:f>IF(M454,"DRAFT INCLUDE","HOLD / EXCLUDE")</x:f>
        <x:v>HOLD / EXCLUDE</x:v>
      </x:c>
      <x:c r="O454" s="101" t="str">
        <x:f>IF(M454,C454,"")</x:f>
      </x:c>
      <x:c r="P454" s="98" t="str">
        <x:f>IF(N454="DRAFT INCLUDE",ROUNDUP(COUNTIF($N$6:N454,"DRAFT INCLUDE")/'Decision Summary'!$B$12,0),"")</x:f>
      </x:c>
      <x:c r="Q454" s="98" t="str">
        <x:f>IF(N454="DRAFT INCLUDE",MOD(COUNTIF($N$6:N454,"DRAFT INCLUDE")-1,'Decision Summary'!$B$12)+1,"")</x:f>
      </x:c>
      <x:c r="R454" s="98" t="str">
        <x:v>PENDING</x:v>
      </x:c>
      <x:c r="S454" s="98" t="str"/>
      <x:c r="T454" s="98" t="str">
        <x:v>Ordinary EOA candidate; inclusion still depends on V1 deprecation, threshold policy and owner approval.</x:v>
      </x:c>
      <x:c r="U454" s="89" t="str">
        <x:v>https://etherscan.io/token/0x445d03f499f1c150615957bb87588fb465fc91cc#balances</x:v>
      </x:c>
      <x:c r="V454" s="89" t="b">
        <x:f>COUNTIF($C$6:$C$502,C454)&gt;1</x:f>
        <x:v>0</x:v>
      </x:c>
    </x:row>
    <x:row r="455">
      <x:c r="A455" s="89" t="n">
        <x:v>450</x:v>
      </x:c>
      <x:c r="B455" s="89" t="str">
        <x:v>v1-mainnet-0450</x:v>
      </x:c>
      <x:c r="C455" s="90" t="str">
        <x:v>0xfee307b263a1c554de42af185e2ae362b6346aa3</x:v>
      </x:c>
      <x:c r="D455" s="98" t="str"/>
      <x:c r="E455" s="98" t="str">
        <x:v>EOA_CANDIDATE</x:v>
      </x:c>
      <x:c r="F455" s="91" t="b">
        <x:v>0</x:v>
      </x:c>
      <x:c r="G455" s="89" t="n">
        <x:v>0</x:v>
      </x:c>
      <x:c r="H455" s="90" t="str">
        <x:v>3648800000000</x:v>
      </x:c>
      <x:c r="I455" s="92" t="n">
        <x:v>3.6488</x:v>
      </x:c>
      <x:c r="J455" s="92" t="str">
        <x:v>3648800000000000000</x:v>
      </x:c>
      <x:c r="K455" s="92" t="n">
        <x:v>3.6488</x:v>
      </x:c>
      <x:c r="L455" s="98" t="str">
        <x:v>PENDING_OWNER_ELIGIBILITY_APPROVAL</x:v>
      </x:c>
      <x:c r="M455" s="98" t="b">
        <x:f>IF(E455="EOA_CANDIDATE",I455&gt;='Decision Summary'!$B$11,FALSE)</x:f>
        <x:v>0</x:v>
      </x:c>
      <x:c r="N455" s="98" t="str">
        <x:f>IF(M455,"DRAFT INCLUDE","HOLD / EXCLUDE")</x:f>
        <x:v>HOLD / EXCLUDE</x:v>
      </x:c>
      <x:c r="O455" s="101" t="str">
        <x:f>IF(M455,C455,"")</x:f>
      </x:c>
      <x:c r="P455" s="98" t="str">
        <x:f>IF(N455="DRAFT INCLUDE",ROUNDUP(COUNTIF($N$6:N455,"DRAFT INCLUDE")/'Decision Summary'!$B$12,0),"")</x:f>
      </x:c>
      <x:c r="Q455" s="98" t="str">
        <x:f>IF(N455="DRAFT INCLUDE",MOD(COUNTIF($N$6:N455,"DRAFT INCLUDE")-1,'Decision Summary'!$B$12)+1,"")</x:f>
      </x:c>
      <x:c r="R455" s="98" t="str">
        <x:v>PENDING</x:v>
      </x:c>
      <x:c r="S455" s="98" t="str"/>
      <x:c r="T455" s="98" t="str">
        <x:v>Ordinary EOA candidate; inclusion still depends on V1 deprecation, threshold policy and owner approval.</x:v>
      </x:c>
      <x:c r="U455" s="89" t="str">
        <x:v>https://etherscan.io/token/0x445d03f499f1c150615957bb87588fb465fc91cc#balances</x:v>
      </x:c>
      <x:c r="V455" s="89" t="b">
        <x:f>COUNTIF($C$6:$C$502,C455)&gt;1</x:f>
        <x:v>0</x:v>
      </x:c>
    </x:row>
    <x:row r="456">
      <x:c r="A456" s="89" t="n">
        <x:v>451</x:v>
      </x:c>
      <x:c r="B456" s="89" t="str">
        <x:v>v1-mainnet-0451</x:v>
      </x:c>
      <x:c r="C456" s="90" t="str">
        <x:v>0x776f7306aeab6562c6bad8f4dd32e56ab98ed1ff</x:v>
      </x:c>
      <x:c r="D456" s="98" t="str"/>
      <x:c r="E456" s="98" t="str">
        <x:v>EOA_CANDIDATE</x:v>
      </x:c>
      <x:c r="F456" s="91" t="b">
        <x:v>0</x:v>
      </x:c>
      <x:c r="G456" s="89" t="n">
        <x:v>0</x:v>
      </x:c>
      <x:c r="H456" s="90" t="str">
        <x:v>3643400000000</x:v>
      </x:c>
      <x:c r="I456" s="92" t="n">
        <x:v>3.6434</x:v>
      </x:c>
      <x:c r="J456" s="92" t="str">
        <x:v>3643400000000000000</x:v>
      </x:c>
      <x:c r="K456" s="92" t="n">
        <x:v>3.6434</x:v>
      </x:c>
      <x:c r="L456" s="98" t="str">
        <x:v>PENDING_OWNER_ELIGIBILITY_APPROVAL</x:v>
      </x:c>
      <x:c r="M456" s="98" t="b">
        <x:f>IF(E456="EOA_CANDIDATE",I456&gt;='Decision Summary'!$B$11,FALSE)</x:f>
        <x:v>0</x:v>
      </x:c>
      <x:c r="N456" s="98" t="str">
        <x:f>IF(M456,"DRAFT INCLUDE","HOLD / EXCLUDE")</x:f>
        <x:v>HOLD / EXCLUDE</x:v>
      </x:c>
      <x:c r="O456" s="101" t="str">
        <x:f>IF(M456,C456,"")</x:f>
      </x:c>
      <x:c r="P456" s="98" t="str">
        <x:f>IF(N456="DRAFT INCLUDE",ROUNDUP(COUNTIF($N$6:N456,"DRAFT INCLUDE")/'Decision Summary'!$B$12,0),"")</x:f>
      </x:c>
      <x:c r="Q456" s="98" t="str">
        <x:f>IF(N456="DRAFT INCLUDE",MOD(COUNTIF($N$6:N456,"DRAFT INCLUDE")-1,'Decision Summary'!$B$12)+1,"")</x:f>
      </x:c>
      <x:c r="R456" s="98" t="str">
        <x:v>PENDING</x:v>
      </x:c>
      <x:c r="S456" s="98" t="str"/>
      <x:c r="T456" s="98" t="str">
        <x:v>Ordinary EOA candidate; inclusion still depends on V1 deprecation, threshold policy and owner approval.</x:v>
      </x:c>
      <x:c r="U456" s="89" t="str">
        <x:v>https://etherscan.io/token/0x445d03f499f1c150615957bb87588fb465fc91cc#balances</x:v>
      </x:c>
      <x:c r="V456" s="89" t="b">
        <x:f>COUNTIF($C$6:$C$502,C456)&gt;1</x:f>
        <x:v>0</x:v>
      </x:c>
    </x:row>
    <x:row r="457">
      <x:c r="A457" s="89" t="n">
        <x:v>452</x:v>
      </x:c>
      <x:c r="B457" s="89" t="str">
        <x:v>v1-mainnet-0452</x:v>
      </x:c>
      <x:c r="C457" s="90" t="str">
        <x:v>0xd208a0d863a315ad9e0e05d09ed9d3c071d6ade5</x:v>
      </x:c>
      <x:c r="D457" s="98" t="str"/>
      <x:c r="E457" s="98" t="str">
        <x:v>EOA_CANDIDATE</x:v>
      </x:c>
      <x:c r="F457" s="91" t="b">
        <x:v>0</x:v>
      </x:c>
      <x:c r="G457" s="89" t="n">
        <x:v>0</x:v>
      </x:c>
      <x:c r="H457" s="90" t="str">
        <x:v>3642900000000</x:v>
      </x:c>
      <x:c r="I457" s="92" t="n">
        <x:v>3.6429</x:v>
      </x:c>
      <x:c r="J457" s="92" t="str">
        <x:v>3642900000000000000</x:v>
      </x:c>
      <x:c r="K457" s="92" t="n">
        <x:v>3.6429</x:v>
      </x:c>
      <x:c r="L457" s="98" t="str">
        <x:v>PENDING_OWNER_ELIGIBILITY_APPROVAL</x:v>
      </x:c>
      <x:c r="M457" s="98" t="b">
        <x:f>IF(E457="EOA_CANDIDATE",I457&gt;='Decision Summary'!$B$11,FALSE)</x:f>
        <x:v>0</x:v>
      </x:c>
      <x:c r="N457" s="98" t="str">
        <x:f>IF(M457,"DRAFT INCLUDE","HOLD / EXCLUDE")</x:f>
        <x:v>HOLD / EXCLUDE</x:v>
      </x:c>
      <x:c r="O457" s="101" t="str">
        <x:f>IF(M457,C457,"")</x:f>
      </x:c>
      <x:c r="P457" s="98" t="str">
        <x:f>IF(N457="DRAFT INCLUDE",ROUNDUP(COUNTIF($N$6:N457,"DRAFT INCLUDE")/'Decision Summary'!$B$12,0),"")</x:f>
      </x:c>
      <x:c r="Q457" s="98" t="str">
        <x:f>IF(N457="DRAFT INCLUDE",MOD(COUNTIF($N$6:N457,"DRAFT INCLUDE")-1,'Decision Summary'!$B$12)+1,"")</x:f>
      </x:c>
      <x:c r="R457" s="98" t="str">
        <x:v>PENDING</x:v>
      </x:c>
      <x:c r="S457" s="98" t="str"/>
      <x:c r="T457" s="98" t="str">
        <x:v>Ordinary EOA candidate; inclusion still depends on V1 deprecation, threshold policy and owner approval.</x:v>
      </x:c>
      <x:c r="U457" s="89" t="str">
        <x:v>https://etherscan.io/token/0x445d03f499f1c150615957bb87588fb465fc91cc#balances</x:v>
      </x:c>
      <x:c r="V457" s="89" t="b">
        <x:f>COUNTIF($C$6:$C$502,C457)&gt;1</x:f>
        <x:v>0</x:v>
      </x:c>
    </x:row>
    <x:row r="458">
      <x:c r="A458" s="89" t="n">
        <x:v>453</x:v>
      </x:c>
      <x:c r="B458" s="89" t="str">
        <x:v>v1-mainnet-0453</x:v>
      </x:c>
      <x:c r="C458" s="90" t="str">
        <x:v>0x56a9c5fbac5b2225bde7298efd0b7b825dcbcc7f</x:v>
      </x:c>
      <x:c r="D458" s="98" t="str"/>
      <x:c r="E458" s="98" t="str">
        <x:v>EOA_CANDIDATE</x:v>
      </x:c>
      <x:c r="F458" s="91" t="b">
        <x:v>0</x:v>
      </x:c>
      <x:c r="G458" s="89" t="n">
        <x:v>0</x:v>
      </x:c>
      <x:c r="H458" s="90" t="str">
        <x:v>3620000000000</x:v>
      </x:c>
      <x:c r="I458" s="92" t="n">
        <x:v>3.62</x:v>
      </x:c>
      <x:c r="J458" s="92" t="str">
        <x:v>3620000000000000000</x:v>
      </x:c>
      <x:c r="K458" s="92" t="n">
        <x:v>3.62</x:v>
      </x:c>
      <x:c r="L458" s="98" t="str">
        <x:v>PENDING_OWNER_ELIGIBILITY_APPROVAL</x:v>
      </x:c>
      <x:c r="M458" s="98" t="b">
        <x:f>IF(E458="EOA_CANDIDATE",I458&gt;='Decision Summary'!$B$11,FALSE)</x:f>
        <x:v>0</x:v>
      </x:c>
      <x:c r="N458" s="98" t="str">
        <x:f>IF(M458,"DRAFT INCLUDE","HOLD / EXCLUDE")</x:f>
        <x:v>HOLD / EXCLUDE</x:v>
      </x:c>
      <x:c r="O458" s="101" t="str">
        <x:f>IF(M458,C458,"")</x:f>
      </x:c>
      <x:c r="P458" s="98" t="str">
        <x:f>IF(N458="DRAFT INCLUDE",ROUNDUP(COUNTIF($N$6:N458,"DRAFT INCLUDE")/'Decision Summary'!$B$12,0),"")</x:f>
      </x:c>
      <x:c r="Q458" s="98" t="str">
        <x:f>IF(N458="DRAFT INCLUDE",MOD(COUNTIF($N$6:N458,"DRAFT INCLUDE")-1,'Decision Summary'!$B$12)+1,"")</x:f>
      </x:c>
      <x:c r="R458" s="98" t="str">
        <x:v>PENDING</x:v>
      </x:c>
      <x:c r="S458" s="98" t="str"/>
      <x:c r="T458" s="98" t="str">
        <x:v>Ordinary EOA candidate; inclusion still depends on V1 deprecation, threshold policy and owner approval.</x:v>
      </x:c>
      <x:c r="U458" s="89" t="str">
        <x:v>https://etherscan.io/token/0x445d03f499f1c150615957bb87588fb465fc91cc#balances</x:v>
      </x:c>
      <x:c r="V458" s="89" t="b">
        <x:f>COUNTIF($C$6:$C$502,C458)&gt;1</x:f>
        <x:v>0</x:v>
      </x:c>
    </x:row>
    <x:row r="459">
      <x:c r="A459" s="89" t="n">
        <x:v>454</x:v>
      </x:c>
      <x:c r="B459" s="89" t="str">
        <x:v>v1-mainnet-0454</x:v>
      </x:c>
      <x:c r="C459" s="90" t="str">
        <x:v>0x4878b7238db68d4ca9fcc30d59d09cd34b7145c3</x:v>
      </x:c>
      <x:c r="D459" s="98" t="str"/>
      <x:c r="E459" s="98" t="str">
        <x:v>EOA_CANDIDATE</x:v>
      </x:c>
      <x:c r="F459" s="91" t="b">
        <x:v>0</x:v>
      </x:c>
      <x:c r="G459" s="89" t="n">
        <x:v>0</x:v>
      </x:c>
      <x:c r="H459" s="90" t="str">
        <x:v>3606800000000</x:v>
      </x:c>
      <x:c r="I459" s="92" t="n">
        <x:v>3.6068</x:v>
      </x:c>
      <x:c r="J459" s="92" t="str">
        <x:v>3606800000000000000</x:v>
      </x:c>
      <x:c r="K459" s="92" t="n">
        <x:v>3.6068</x:v>
      </x:c>
      <x:c r="L459" s="98" t="str">
        <x:v>PENDING_OWNER_ELIGIBILITY_APPROVAL</x:v>
      </x:c>
      <x:c r="M459" s="98" t="b">
        <x:f>IF(E459="EOA_CANDIDATE",I459&gt;='Decision Summary'!$B$11,FALSE)</x:f>
        <x:v>0</x:v>
      </x:c>
      <x:c r="N459" s="98" t="str">
        <x:f>IF(M459,"DRAFT INCLUDE","HOLD / EXCLUDE")</x:f>
        <x:v>HOLD / EXCLUDE</x:v>
      </x:c>
      <x:c r="O459" s="101" t="str">
        <x:f>IF(M459,C459,"")</x:f>
      </x:c>
      <x:c r="P459" s="98" t="str">
        <x:f>IF(N459="DRAFT INCLUDE",ROUNDUP(COUNTIF($N$6:N459,"DRAFT INCLUDE")/'Decision Summary'!$B$12,0),"")</x:f>
      </x:c>
      <x:c r="Q459" s="98" t="str">
        <x:f>IF(N459="DRAFT INCLUDE",MOD(COUNTIF($N$6:N459,"DRAFT INCLUDE")-1,'Decision Summary'!$B$12)+1,"")</x:f>
      </x:c>
      <x:c r="R459" s="98" t="str">
        <x:v>PENDING</x:v>
      </x:c>
      <x:c r="S459" s="98" t="str"/>
      <x:c r="T459" s="98" t="str">
        <x:v>Ordinary EOA candidate; inclusion still depends on V1 deprecation, threshold policy and owner approval.</x:v>
      </x:c>
      <x:c r="U459" s="89" t="str">
        <x:v>https://etherscan.io/token/0x445d03f499f1c150615957bb87588fb465fc91cc#balances</x:v>
      </x:c>
      <x:c r="V459" s="89" t="b">
        <x:f>COUNTIF($C$6:$C$502,C459)&gt;1</x:f>
        <x:v>0</x:v>
      </x:c>
    </x:row>
    <x:row r="460">
      <x:c r="A460" s="89" t="n">
        <x:v>455</x:v>
      </x:c>
      <x:c r="B460" s="89" t="str">
        <x:v>v1-mainnet-0455</x:v>
      </x:c>
      <x:c r="C460" s="90" t="str">
        <x:v>0x0247098ccefabc1d0ebb94547a0f545527b22a92</x:v>
      </x:c>
      <x:c r="D460" s="98" t="str"/>
      <x:c r="E460" s="98" t="str">
        <x:v>EOA_CANDIDATE</x:v>
      </x:c>
      <x:c r="F460" s="91" t="b">
        <x:v>0</x:v>
      </x:c>
      <x:c r="G460" s="89" t="n">
        <x:v>0</x:v>
      </x:c>
      <x:c r="H460" s="90" t="str">
        <x:v>3575800000000</x:v>
      </x:c>
      <x:c r="I460" s="92" t="n">
        <x:v>3.5758</x:v>
      </x:c>
      <x:c r="J460" s="92" t="str">
        <x:v>3575800000000000000</x:v>
      </x:c>
      <x:c r="K460" s="92" t="n">
        <x:v>3.5758</x:v>
      </x:c>
      <x:c r="L460" s="98" t="str">
        <x:v>PENDING_OWNER_ELIGIBILITY_APPROVAL</x:v>
      </x:c>
      <x:c r="M460" s="98" t="b">
        <x:f>IF(E460="EOA_CANDIDATE",I460&gt;='Decision Summary'!$B$11,FALSE)</x:f>
        <x:v>0</x:v>
      </x:c>
      <x:c r="N460" s="98" t="str">
        <x:f>IF(M460,"DRAFT INCLUDE","HOLD / EXCLUDE")</x:f>
        <x:v>HOLD / EXCLUDE</x:v>
      </x:c>
      <x:c r="O460" s="101" t="str">
        <x:f>IF(M460,C460,"")</x:f>
      </x:c>
      <x:c r="P460" s="98" t="str">
        <x:f>IF(N460="DRAFT INCLUDE",ROUNDUP(COUNTIF($N$6:N460,"DRAFT INCLUDE")/'Decision Summary'!$B$12,0),"")</x:f>
      </x:c>
      <x:c r="Q460" s="98" t="str">
        <x:f>IF(N460="DRAFT INCLUDE",MOD(COUNTIF($N$6:N460,"DRAFT INCLUDE")-1,'Decision Summary'!$B$12)+1,"")</x:f>
      </x:c>
      <x:c r="R460" s="98" t="str">
        <x:v>PENDING</x:v>
      </x:c>
      <x:c r="S460" s="98" t="str"/>
      <x:c r="T460" s="98" t="str">
        <x:v>Ordinary EOA candidate; inclusion still depends on V1 deprecation, threshold policy and owner approval.</x:v>
      </x:c>
      <x:c r="U460" s="89" t="str">
        <x:v>https://etherscan.io/token/0x445d03f499f1c150615957bb87588fb465fc91cc#balances</x:v>
      </x:c>
      <x:c r="V460" s="89" t="b">
        <x:f>COUNTIF($C$6:$C$502,C460)&gt;1</x:f>
        <x:v>0</x:v>
      </x:c>
    </x:row>
    <x:row r="461">
      <x:c r="A461" s="89" t="n">
        <x:v>456</x:v>
      </x:c>
      <x:c r="B461" s="89" t="str">
        <x:v>v1-mainnet-0456</x:v>
      </x:c>
      <x:c r="C461" s="90" t="str">
        <x:v>0x204c29e2b01ba2282e9f6700697df6c23d9d1266</x:v>
      </x:c>
      <x:c r="D461" s="98" t="str"/>
      <x:c r="E461" s="98" t="str">
        <x:v>EOA_CANDIDATE</x:v>
      </x:c>
      <x:c r="F461" s="91" t="b">
        <x:v>0</x:v>
      </x:c>
      <x:c r="G461" s="89" t="n">
        <x:v>0</x:v>
      </x:c>
      <x:c r="H461" s="90" t="str">
        <x:v>3574800000000</x:v>
      </x:c>
      <x:c r="I461" s="92" t="n">
        <x:v>3.5748</x:v>
      </x:c>
      <x:c r="J461" s="92" t="str">
        <x:v>3574800000000000000</x:v>
      </x:c>
      <x:c r="K461" s="92" t="n">
        <x:v>3.5748</x:v>
      </x:c>
      <x:c r="L461" s="98" t="str">
        <x:v>PENDING_OWNER_ELIGIBILITY_APPROVAL</x:v>
      </x:c>
      <x:c r="M461" s="98" t="b">
        <x:f>IF(E461="EOA_CANDIDATE",I461&gt;='Decision Summary'!$B$11,FALSE)</x:f>
        <x:v>0</x:v>
      </x:c>
      <x:c r="N461" s="98" t="str">
        <x:f>IF(M461,"DRAFT INCLUDE","HOLD / EXCLUDE")</x:f>
        <x:v>HOLD / EXCLUDE</x:v>
      </x:c>
      <x:c r="O461" s="101" t="str">
        <x:f>IF(M461,C461,"")</x:f>
      </x:c>
      <x:c r="P461" s="98" t="str">
        <x:f>IF(N461="DRAFT INCLUDE",ROUNDUP(COUNTIF($N$6:N461,"DRAFT INCLUDE")/'Decision Summary'!$B$12,0),"")</x:f>
      </x:c>
      <x:c r="Q461" s="98" t="str">
        <x:f>IF(N461="DRAFT INCLUDE",MOD(COUNTIF($N$6:N461,"DRAFT INCLUDE")-1,'Decision Summary'!$B$12)+1,"")</x:f>
      </x:c>
      <x:c r="R461" s="98" t="str">
        <x:v>PENDING</x:v>
      </x:c>
      <x:c r="S461" s="98" t="str"/>
      <x:c r="T461" s="98" t="str">
        <x:v>Ordinary EOA candidate; inclusion still depends on V1 deprecation, threshold policy and owner approval.</x:v>
      </x:c>
      <x:c r="U461" s="89" t="str">
        <x:v>https://etherscan.io/token/0x445d03f499f1c150615957bb87588fb465fc91cc#balances</x:v>
      </x:c>
      <x:c r="V461" s="89" t="b">
        <x:f>COUNTIF($C$6:$C$502,C461)&gt;1</x:f>
        <x:v>0</x:v>
      </x:c>
    </x:row>
    <x:row r="462">
      <x:c r="A462" s="89" t="n">
        <x:v>457</x:v>
      </x:c>
      <x:c r="B462" s="89" t="str">
        <x:v>v1-mainnet-0457</x:v>
      </x:c>
      <x:c r="C462" s="90" t="str">
        <x:v>0x61553ab258780f0d8a7bf1ee942a6857904cfdaf</x:v>
      </x:c>
      <x:c r="D462" s="98" t="str"/>
      <x:c r="E462" s="98" t="str">
        <x:v>EOA_CANDIDATE</x:v>
      </x:c>
      <x:c r="F462" s="91" t="b">
        <x:v>0</x:v>
      </x:c>
      <x:c r="G462" s="89" t="n">
        <x:v>0</x:v>
      </x:c>
      <x:c r="H462" s="90" t="str">
        <x:v>3558100000000</x:v>
      </x:c>
      <x:c r="I462" s="92" t="n">
        <x:v>3.5581</x:v>
      </x:c>
      <x:c r="J462" s="92" t="str">
        <x:v>3558100000000000000</x:v>
      </x:c>
      <x:c r="K462" s="92" t="n">
        <x:v>3.5581</x:v>
      </x:c>
      <x:c r="L462" s="98" t="str">
        <x:v>PENDING_OWNER_ELIGIBILITY_APPROVAL</x:v>
      </x:c>
      <x:c r="M462" s="98" t="b">
        <x:f>IF(E462="EOA_CANDIDATE",I462&gt;='Decision Summary'!$B$11,FALSE)</x:f>
        <x:v>0</x:v>
      </x:c>
      <x:c r="N462" s="98" t="str">
        <x:f>IF(M462,"DRAFT INCLUDE","HOLD / EXCLUDE")</x:f>
        <x:v>HOLD / EXCLUDE</x:v>
      </x:c>
      <x:c r="O462" s="101" t="str">
        <x:f>IF(M462,C462,"")</x:f>
      </x:c>
      <x:c r="P462" s="98" t="str">
        <x:f>IF(N462="DRAFT INCLUDE",ROUNDUP(COUNTIF($N$6:N462,"DRAFT INCLUDE")/'Decision Summary'!$B$12,0),"")</x:f>
      </x:c>
      <x:c r="Q462" s="98" t="str">
        <x:f>IF(N462="DRAFT INCLUDE",MOD(COUNTIF($N$6:N462,"DRAFT INCLUDE")-1,'Decision Summary'!$B$12)+1,"")</x:f>
      </x:c>
      <x:c r="R462" s="98" t="str">
        <x:v>PENDING</x:v>
      </x:c>
      <x:c r="S462" s="98" t="str"/>
      <x:c r="T462" s="98" t="str">
        <x:v>Ordinary EOA candidate; inclusion still depends on V1 deprecation, threshold policy and owner approval.</x:v>
      </x:c>
      <x:c r="U462" s="89" t="str">
        <x:v>https://etherscan.io/token/0x445d03f499f1c150615957bb87588fb465fc91cc#balances</x:v>
      </x:c>
      <x:c r="V462" s="89" t="b">
        <x:f>COUNTIF($C$6:$C$502,C462)&gt;1</x:f>
        <x:v>0</x:v>
      </x:c>
    </x:row>
    <x:row r="463">
      <x:c r="A463" s="89" t="n">
        <x:v>458</x:v>
      </x:c>
      <x:c r="B463" s="89" t="str">
        <x:v>v1-mainnet-0458</x:v>
      </x:c>
      <x:c r="C463" s="90" t="str">
        <x:v>0xd1f4ced71a7664378d9a841eb357ec9339817d11</x:v>
      </x:c>
      <x:c r="D463" s="98" t="str"/>
      <x:c r="E463" s="98" t="str">
        <x:v>EOA_CANDIDATE</x:v>
      </x:c>
      <x:c r="F463" s="91" t="b">
        <x:v>0</x:v>
      </x:c>
      <x:c r="G463" s="89" t="n">
        <x:v>0</x:v>
      </x:c>
      <x:c r="H463" s="90" t="str">
        <x:v>3536600000000</x:v>
      </x:c>
      <x:c r="I463" s="92" t="n">
        <x:v>3.5366</x:v>
      </x:c>
      <x:c r="J463" s="92" t="str">
        <x:v>3536600000000000000</x:v>
      </x:c>
      <x:c r="K463" s="92" t="n">
        <x:v>3.5366</x:v>
      </x:c>
      <x:c r="L463" s="98" t="str">
        <x:v>PENDING_OWNER_ELIGIBILITY_APPROVAL</x:v>
      </x:c>
      <x:c r="M463" s="98" t="b">
        <x:f>IF(E463="EOA_CANDIDATE",I463&gt;='Decision Summary'!$B$11,FALSE)</x:f>
        <x:v>0</x:v>
      </x:c>
      <x:c r="N463" s="98" t="str">
        <x:f>IF(M463,"DRAFT INCLUDE","HOLD / EXCLUDE")</x:f>
        <x:v>HOLD / EXCLUDE</x:v>
      </x:c>
      <x:c r="O463" s="101" t="str">
        <x:f>IF(M463,C463,"")</x:f>
      </x:c>
      <x:c r="P463" s="98" t="str">
        <x:f>IF(N463="DRAFT INCLUDE",ROUNDUP(COUNTIF($N$6:N463,"DRAFT INCLUDE")/'Decision Summary'!$B$12,0),"")</x:f>
      </x:c>
      <x:c r="Q463" s="98" t="str">
        <x:f>IF(N463="DRAFT INCLUDE",MOD(COUNTIF($N$6:N463,"DRAFT INCLUDE")-1,'Decision Summary'!$B$12)+1,"")</x:f>
      </x:c>
      <x:c r="R463" s="98" t="str">
        <x:v>PENDING</x:v>
      </x:c>
      <x:c r="S463" s="98" t="str"/>
      <x:c r="T463" s="98" t="str">
        <x:v>Ordinary EOA candidate; inclusion still depends on V1 deprecation, threshold policy and owner approval.</x:v>
      </x:c>
      <x:c r="U463" s="89" t="str">
        <x:v>https://etherscan.io/token/0x445d03f499f1c150615957bb87588fb465fc91cc#balances</x:v>
      </x:c>
      <x:c r="V463" s="89" t="b">
        <x:f>COUNTIF($C$6:$C$502,C463)&gt;1</x:f>
        <x:v>0</x:v>
      </x:c>
    </x:row>
    <x:row r="464">
      <x:c r="A464" s="89" t="n">
        <x:v>459</x:v>
      </x:c>
      <x:c r="B464" s="89" t="str">
        <x:v>v1-mainnet-0459</x:v>
      </x:c>
      <x:c r="C464" s="90" t="str">
        <x:v>0x9f4b6820b4adf7637340d2e03fda68cace5d7c3a</x:v>
      </x:c>
      <x:c r="D464" s="98" t="str"/>
      <x:c r="E464" s="98" t="str">
        <x:v>EOA_CANDIDATE</x:v>
      </x:c>
      <x:c r="F464" s="91" t="b">
        <x:v>0</x:v>
      </x:c>
      <x:c r="G464" s="89" t="n">
        <x:v>0</x:v>
      </x:c>
      <x:c r="H464" s="90" t="str">
        <x:v>3514800000000</x:v>
      </x:c>
      <x:c r="I464" s="92" t="n">
        <x:v>3.5148</x:v>
      </x:c>
      <x:c r="J464" s="92" t="str">
        <x:v>3514800000000000000</x:v>
      </x:c>
      <x:c r="K464" s="92" t="n">
        <x:v>3.5148</x:v>
      </x:c>
      <x:c r="L464" s="98" t="str">
        <x:v>PENDING_OWNER_ELIGIBILITY_APPROVAL</x:v>
      </x:c>
      <x:c r="M464" s="98" t="b">
        <x:f>IF(E464="EOA_CANDIDATE",I464&gt;='Decision Summary'!$B$11,FALSE)</x:f>
        <x:v>0</x:v>
      </x:c>
      <x:c r="N464" s="98" t="str">
        <x:f>IF(M464,"DRAFT INCLUDE","HOLD / EXCLUDE")</x:f>
        <x:v>HOLD / EXCLUDE</x:v>
      </x:c>
      <x:c r="O464" s="101" t="str">
        <x:f>IF(M464,C464,"")</x:f>
      </x:c>
      <x:c r="P464" s="98" t="str">
        <x:f>IF(N464="DRAFT INCLUDE",ROUNDUP(COUNTIF($N$6:N464,"DRAFT INCLUDE")/'Decision Summary'!$B$12,0),"")</x:f>
      </x:c>
      <x:c r="Q464" s="98" t="str">
        <x:f>IF(N464="DRAFT INCLUDE",MOD(COUNTIF($N$6:N464,"DRAFT INCLUDE")-1,'Decision Summary'!$B$12)+1,"")</x:f>
      </x:c>
      <x:c r="R464" s="98" t="str">
        <x:v>PENDING</x:v>
      </x:c>
      <x:c r="S464" s="98" t="str"/>
      <x:c r="T464" s="98" t="str">
        <x:v>Ordinary EOA candidate; inclusion still depends on V1 deprecation, threshold policy and owner approval.</x:v>
      </x:c>
      <x:c r="U464" s="89" t="str">
        <x:v>https://etherscan.io/token/0x445d03f499f1c150615957bb87588fb465fc91cc#balances</x:v>
      </x:c>
      <x:c r="V464" s="89" t="b">
        <x:f>COUNTIF($C$6:$C$502,C464)&gt;1</x:f>
        <x:v>0</x:v>
      </x:c>
    </x:row>
    <x:row r="465">
      <x:c r="A465" s="89" t="n">
        <x:v>460</x:v>
      </x:c>
      <x:c r="B465" s="89" t="str">
        <x:v>v1-mainnet-0460</x:v>
      </x:c>
      <x:c r="C465" s="90" t="str">
        <x:v>0xe9f8be229cbe7be7b88084f074f156f3dea25445</x:v>
      </x:c>
      <x:c r="D465" s="98" t="str"/>
      <x:c r="E465" s="98" t="str">
        <x:v>EOA_CANDIDATE</x:v>
      </x:c>
      <x:c r="F465" s="91" t="b">
        <x:v>0</x:v>
      </x:c>
      <x:c r="G465" s="89" t="n">
        <x:v>0</x:v>
      </x:c>
      <x:c r="H465" s="90" t="str">
        <x:v>3511400000000</x:v>
      </x:c>
      <x:c r="I465" s="92" t="n">
        <x:v>3.5114</x:v>
      </x:c>
      <x:c r="J465" s="92" t="str">
        <x:v>3511400000000000000</x:v>
      </x:c>
      <x:c r="K465" s="92" t="n">
        <x:v>3.5114</x:v>
      </x:c>
      <x:c r="L465" s="98" t="str">
        <x:v>PENDING_OWNER_ELIGIBILITY_APPROVAL</x:v>
      </x:c>
      <x:c r="M465" s="98" t="b">
        <x:f>IF(E465="EOA_CANDIDATE",I465&gt;='Decision Summary'!$B$11,FALSE)</x:f>
        <x:v>0</x:v>
      </x:c>
      <x:c r="N465" s="98" t="str">
        <x:f>IF(M465,"DRAFT INCLUDE","HOLD / EXCLUDE")</x:f>
        <x:v>HOLD / EXCLUDE</x:v>
      </x:c>
      <x:c r="O465" s="101" t="str">
        <x:f>IF(M465,C465,"")</x:f>
      </x:c>
      <x:c r="P465" s="98" t="str">
        <x:f>IF(N465="DRAFT INCLUDE",ROUNDUP(COUNTIF($N$6:N465,"DRAFT INCLUDE")/'Decision Summary'!$B$12,0),"")</x:f>
      </x:c>
      <x:c r="Q465" s="98" t="str">
        <x:f>IF(N465="DRAFT INCLUDE",MOD(COUNTIF($N$6:N465,"DRAFT INCLUDE")-1,'Decision Summary'!$B$12)+1,"")</x:f>
      </x:c>
      <x:c r="R465" s="98" t="str">
        <x:v>PENDING</x:v>
      </x:c>
      <x:c r="S465" s="98" t="str"/>
      <x:c r="T465" s="98" t="str">
        <x:v>Ordinary EOA candidate; inclusion still depends on V1 deprecation, threshold policy and owner approval.</x:v>
      </x:c>
      <x:c r="U465" s="89" t="str">
        <x:v>https://etherscan.io/token/0x445d03f499f1c150615957bb87588fb465fc91cc#balances</x:v>
      </x:c>
      <x:c r="V465" s="89" t="b">
        <x:f>COUNTIF($C$6:$C$502,C465)&gt;1</x:f>
        <x:v>0</x:v>
      </x:c>
    </x:row>
    <x:row r="466">
      <x:c r="A466" s="89" t="n">
        <x:v>461</x:v>
      </x:c>
      <x:c r="B466" s="89" t="str">
        <x:v>v1-mainnet-0461</x:v>
      </x:c>
      <x:c r="C466" s="90" t="str">
        <x:v>0xaf6c765b8ab61a8378fb178827b7967fa5e5a58a</x:v>
      </x:c>
      <x:c r="D466" s="98" t="str"/>
      <x:c r="E466" s="98" t="str">
        <x:v>EOA_CANDIDATE</x:v>
      </x:c>
      <x:c r="F466" s="91" t="b">
        <x:v>0</x:v>
      </x:c>
      <x:c r="G466" s="89" t="n">
        <x:v>0</x:v>
      </x:c>
      <x:c r="H466" s="90" t="str">
        <x:v>3511100000000</x:v>
      </x:c>
      <x:c r="I466" s="92" t="n">
        <x:v>3.5111</x:v>
      </x:c>
      <x:c r="J466" s="92" t="str">
        <x:v>3511100000000000000</x:v>
      </x:c>
      <x:c r="K466" s="92" t="n">
        <x:v>3.5111</x:v>
      </x:c>
      <x:c r="L466" s="98" t="str">
        <x:v>PENDING_OWNER_ELIGIBILITY_APPROVAL</x:v>
      </x:c>
      <x:c r="M466" s="98" t="b">
        <x:f>IF(E466="EOA_CANDIDATE",I466&gt;='Decision Summary'!$B$11,FALSE)</x:f>
        <x:v>0</x:v>
      </x:c>
      <x:c r="N466" s="98" t="str">
        <x:f>IF(M466,"DRAFT INCLUDE","HOLD / EXCLUDE")</x:f>
        <x:v>HOLD / EXCLUDE</x:v>
      </x:c>
      <x:c r="O466" s="101" t="str">
        <x:f>IF(M466,C466,"")</x:f>
      </x:c>
      <x:c r="P466" s="98" t="str">
        <x:f>IF(N466="DRAFT INCLUDE",ROUNDUP(COUNTIF($N$6:N466,"DRAFT INCLUDE")/'Decision Summary'!$B$12,0),"")</x:f>
      </x:c>
      <x:c r="Q466" s="98" t="str">
        <x:f>IF(N466="DRAFT INCLUDE",MOD(COUNTIF($N$6:N466,"DRAFT INCLUDE")-1,'Decision Summary'!$B$12)+1,"")</x:f>
      </x:c>
      <x:c r="R466" s="98" t="str">
        <x:v>PENDING</x:v>
      </x:c>
      <x:c r="S466" s="98" t="str"/>
      <x:c r="T466" s="98" t="str">
        <x:v>Ordinary EOA candidate; inclusion still depends on V1 deprecation, threshold policy and owner approval.</x:v>
      </x:c>
      <x:c r="U466" s="89" t="str">
        <x:v>https://etherscan.io/token/0x445d03f499f1c150615957bb87588fb465fc91cc#balances</x:v>
      </x:c>
      <x:c r="V466" s="89" t="b">
        <x:f>COUNTIF($C$6:$C$502,C466)&gt;1</x:f>
        <x:v>0</x:v>
      </x:c>
    </x:row>
    <x:row r="467">
      <x:c r="A467" s="89" t="n">
        <x:v>462</x:v>
      </x:c>
      <x:c r="B467" s="89" t="str">
        <x:v>v1-mainnet-0462</x:v>
      </x:c>
      <x:c r="C467" s="90" t="str">
        <x:v>0x899d28a31907a3c7ea838546f001f4edb9728166</x:v>
      </x:c>
      <x:c r="D467" s="98" t="str"/>
      <x:c r="E467" s="98" t="str">
        <x:v>EOA_CANDIDATE</x:v>
      </x:c>
      <x:c r="F467" s="91" t="b">
        <x:v>0</x:v>
      </x:c>
      <x:c r="G467" s="89" t="n">
        <x:v>0</x:v>
      </x:c>
      <x:c r="H467" s="90" t="str">
        <x:v>3492900000000</x:v>
      </x:c>
      <x:c r="I467" s="92" t="n">
        <x:v>3.4929</x:v>
      </x:c>
      <x:c r="J467" s="92" t="str">
        <x:v>3492900000000000000</x:v>
      </x:c>
      <x:c r="K467" s="92" t="n">
        <x:v>3.4929</x:v>
      </x:c>
      <x:c r="L467" s="98" t="str">
        <x:v>PENDING_OWNER_ELIGIBILITY_APPROVAL</x:v>
      </x:c>
      <x:c r="M467" s="98" t="b">
        <x:f>IF(E467="EOA_CANDIDATE",I467&gt;='Decision Summary'!$B$11,FALSE)</x:f>
        <x:v>0</x:v>
      </x:c>
      <x:c r="N467" s="98" t="str">
        <x:f>IF(M467,"DRAFT INCLUDE","HOLD / EXCLUDE")</x:f>
        <x:v>HOLD / EXCLUDE</x:v>
      </x:c>
      <x:c r="O467" s="101" t="str">
        <x:f>IF(M467,C467,"")</x:f>
      </x:c>
      <x:c r="P467" s="98" t="str">
        <x:f>IF(N467="DRAFT INCLUDE",ROUNDUP(COUNTIF($N$6:N467,"DRAFT INCLUDE")/'Decision Summary'!$B$12,0),"")</x:f>
      </x:c>
      <x:c r="Q467" s="98" t="str">
        <x:f>IF(N467="DRAFT INCLUDE",MOD(COUNTIF($N$6:N467,"DRAFT INCLUDE")-1,'Decision Summary'!$B$12)+1,"")</x:f>
      </x:c>
      <x:c r="R467" s="98" t="str">
        <x:v>PENDING</x:v>
      </x:c>
      <x:c r="S467" s="98" t="str"/>
      <x:c r="T467" s="98" t="str">
        <x:v>Ordinary EOA candidate; inclusion still depends on V1 deprecation, threshold policy and owner approval.</x:v>
      </x:c>
      <x:c r="U467" s="89" t="str">
        <x:v>https://etherscan.io/token/0x445d03f499f1c150615957bb87588fb465fc91cc#balances</x:v>
      </x:c>
      <x:c r="V467" s="89" t="b">
        <x:f>COUNTIF($C$6:$C$502,C467)&gt;1</x:f>
        <x:v>0</x:v>
      </x:c>
    </x:row>
    <x:row r="468">
      <x:c r="A468" s="89" t="n">
        <x:v>463</x:v>
      </x:c>
      <x:c r="B468" s="89" t="str">
        <x:v>v1-mainnet-0463</x:v>
      </x:c>
      <x:c r="C468" s="90" t="str">
        <x:v>0xc8688d3950e8d58f01301174b7ce1cfd0fe6a891</x:v>
      </x:c>
      <x:c r="D468" s="98" t="str"/>
      <x:c r="E468" s="98" t="str">
        <x:v>EOA_CANDIDATE</x:v>
      </x:c>
      <x:c r="F468" s="91" t="b">
        <x:v>0</x:v>
      </x:c>
      <x:c r="G468" s="89" t="n">
        <x:v>0</x:v>
      </x:c>
      <x:c r="H468" s="90" t="str">
        <x:v>3460300000000</x:v>
      </x:c>
      <x:c r="I468" s="92" t="n">
        <x:v>3.4603</x:v>
      </x:c>
      <x:c r="J468" s="92" t="str">
        <x:v>3460300000000000000</x:v>
      </x:c>
      <x:c r="K468" s="92" t="n">
        <x:v>3.4603</x:v>
      </x:c>
      <x:c r="L468" s="98" t="str">
        <x:v>PENDING_OWNER_ELIGIBILITY_APPROVAL</x:v>
      </x:c>
      <x:c r="M468" s="98" t="b">
        <x:f>IF(E468="EOA_CANDIDATE",I468&gt;='Decision Summary'!$B$11,FALSE)</x:f>
        <x:v>0</x:v>
      </x:c>
      <x:c r="N468" s="98" t="str">
        <x:f>IF(M468,"DRAFT INCLUDE","HOLD / EXCLUDE")</x:f>
        <x:v>HOLD / EXCLUDE</x:v>
      </x:c>
      <x:c r="O468" s="101" t="str">
        <x:f>IF(M468,C468,"")</x:f>
      </x:c>
      <x:c r="P468" s="98" t="str">
        <x:f>IF(N468="DRAFT INCLUDE",ROUNDUP(COUNTIF($N$6:N468,"DRAFT INCLUDE")/'Decision Summary'!$B$12,0),"")</x:f>
      </x:c>
      <x:c r="Q468" s="98" t="str">
        <x:f>IF(N468="DRAFT INCLUDE",MOD(COUNTIF($N$6:N468,"DRAFT INCLUDE")-1,'Decision Summary'!$B$12)+1,"")</x:f>
      </x:c>
      <x:c r="R468" s="98" t="str">
        <x:v>PENDING</x:v>
      </x:c>
      <x:c r="S468" s="98" t="str"/>
      <x:c r="T468" s="98" t="str">
        <x:v>Ordinary EOA candidate; inclusion still depends on V1 deprecation, threshold policy and owner approval.</x:v>
      </x:c>
      <x:c r="U468" s="89" t="str">
        <x:v>https://etherscan.io/token/0x445d03f499f1c150615957bb87588fb465fc91cc#balances</x:v>
      </x:c>
      <x:c r="V468" s="89" t="b">
        <x:f>COUNTIF($C$6:$C$502,C468)&gt;1</x:f>
        <x:v>0</x:v>
      </x:c>
    </x:row>
    <x:row r="469">
      <x:c r="A469" s="89" t="n">
        <x:v>464</x:v>
      </x:c>
      <x:c r="B469" s="89" t="str">
        <x:v>v1-mainnet-0464</x:v>
      </x:c>
      <x:c r="C469" s="90" t="str">
        <x:v>0x4762a019da49c2e146adad252174890fadade33b</x:v>
      </x:c>
      <x:c r="D469" s="98" t="str"/>
      <x:c r="E469" s="98" t="str">
        <x:v>EOA_CANDIDATE</x:v>
      </x:c>
      <x:c r="F469" s="91" t="b">
        <x:v>0</x:v>
      </x:c>
      <x:c r="G469" s="89" t="n">
        <x:v>0</x:v>
      </x:c>
      <x:c r="H469" s="90" t="str">
        <x:v>3435700000000</x:v>
      </x:c>
      <x:c r="I469" s="92" t="n">
        <x:v>3.4357</x:v>
      </x:c>
      <x:c r="J469" s="92" t="str">
        <x:v>3435700000000000000</x:v>
      </x:c>
      <x:c r="K469" s="92" t="n">
        <x:v>3.4357</x:v>
      </x:c>
      <x:c r="L469" s="98" t="str">
        <x:v>PENDING_OWNER_ELIGIBILITY_APPROVAL</x:v>
      </x:c>
      <x:c r="M469" s="98" t="b">
        <x:f>IF(E469="EOA_CANDIDATE",I469&gt;='Decision Summary'!$B$11,FALSE)</x:f>
        <x:v>0</x:v>
      </x:c>
      <x:c r="N469" s="98" t="str">
        <x:f>IF(M469,"DRAFT INCLUDE","HOLD / EXCLUDE")</x:f>
        <x:v>HOLD / EXCLUDE</x:v>
      </x:c>
      <x:c r="O469" s="101" t="str">
        <x:f>IF(M469,C469,"")</x:f>
      </x:c>
      <x:c r="P469" s="98" t="str">
        <x:f>IF(N469="DRAFT INCLUDE",ROUNDUP(COUNTIF($N$6:N469,"DRAFT INCLUDE")/'Decision Summary'!$B$12,0),"")</x:f>
      </x:c>
      <x:c r="Q469" s="98" t="str">
        <x:f>IF(N469="DRAFT INCLUDE",MOD(COUNTIF($N$6:N469,"DRAFT INCLUDE")-1,'Decision Summary'!$B$12)+1,"")</x:f>
      </x:c>
      <x:c r="R469" s="98" t="str">
        <x:v>PENDING</x:v>
      </x:c>
      <x:c r="S469" s="98" t="str"/>
      <x:c r="T469" s="98" t="str">
        <x:v>Ordinary EOA candidate; inclusion still depends on V1 deprecation, threshold policy and owner approval.</x:v>
      </x:c>
      <x:c r="U469" s="89" t="str">
        <x:v>https://etherscan.io/token/0x445d03f499f1c150615957bb87588fb465fc91cc#balances</x:v>
      </x:c>
      <x:c r="V469" s="89" t="b">
        <x:f>COUNTIF($C$6:$C$502,C469)&gt;1</x:f>
        <x:v>0</x:v>
      </x:c>
    </x:row>
    <x:row r="470">
      <x:c r="A470" s="89" t="n">
        <x:v>465</x:v>
      </x:c>
      <x:c r="B470" s="89" t="str">
        <x:v>v1-mainnet-0465</x:v>
      </x:c>
      <x:c r="C470" s="90" t="str">
        <x:v>0xfc73f935404cdad3574bca21cc927e95669519a3</x:v>
      </x:c>
      <x:c r="D470" s="98" t="str"/>
      <x:c r="E470" s="98" t="str">
        <x:v>EOA_CANDIDATE</x:v>
      </x:c>
      <x:c r="F470" s="91" t="b">
        <x:v>0</x:v>
      </x:c>
      <x:c r="G470" s="89" t="n">
        <x:v>0</x:v>
      </x:c>
      <x:c r="H470" s="90" t="str">
        <x:v>3432900000000</x:v>
      </x:c>
      <x:c r="I470" s="92" t="n">
        <x:v>3.4329</x:v>
      </x:c>
      <x:c r="J470" s="92" t="str">
        <x:v>3432900000000000000</x:v>
      </x:c>
      <x:c r="K470" s="92" t="n">
        <x:v>3.4329</x:v>
      </x:c>
      <x:c r="L470" s="98" t="str">
        <x:v>PENDING_OWNER_ELIGIBILITY_APPROVAL</x:v>
      </x:c>
      <x:c r="M470" s="98" t="b">
        <x:f>IF(E470="EOA_CANDIDATE",I470&gt;='Decision Summary'!$B$11,FALSE)</x:f>
        <x:v>0</x:v>
      </x:c>
      <x:c r="N470" s="98" t="str">
        <x:f>IF(M470,"DRAFT INCLUDE","HOLD / EXCLUDE")</x:f>
        <x:v>HOLD / EXCLUDE</x:v>
      </x:c>
      <x:c r="O470" s="101" t="str">
        <x:f>IF(M470,C470,"")</x:f>
      </x:c>
      <x:c r="P470" s="98" t="str">
        <x:f>IF(N470="DRAFT INCLUDE",ROUNDUP(COUNTIF($N$6:N470,"DRAFT INCLUDE")/'Decision Summary'!$B$12,0),"")</x:f>
      </x:c>
      <x:c r="Q470" s="98" t="str">
        <x:f>IF(N470="DRAFT INCLUDE",MOD(COUNTIF($N$6:N470,"DRAFT INCLUDE")-1,'Decision Summary'!$B$12)+1,"")</x:f>
      </x:c>
      <x:c r="R470" s="98" t="str">
        <x:v>PENDING</x:v>
      </x:c>
      <x:c r="S470" s="98" t="str"/>
      <x:c r="T470" s="98" t="str">
        <x:v>Ordinary EOA candidate; inclusion still depends on V1 deprecation, threshold policy and owner approval.</x:v>
      </x:c>
      <x:c r="U470" s="89" t="str">
        <x:v>https://etherscan.io/token/0x445d03f499f1c150615957bb87588fb465fc91cc#balances</x:v>
      </x:c>
      <x:c r="V470" s="89" t="b">
        <x:f>COUNTIF($C$6:$C$502,C470)&gt;1</x:f>
        <x:v>0</x:v>
      </x:c>
    </x:row>
    <x:row r="471">
      <x:c r="A471" s="89" t="n">
        <x:v>466</x:v>
      </x:c>
      <x:c r="B471" s="89" t="str">
        <x:v>v1-mainnet-0466</x:v>
      </x:c>
      <x:c r="C471" s="90" t="str">
        <x:v>0x4f0863bb28d548dcf787c4444b5cf4c8e51b0661</x:v>
      </x:c>
      <x:c r="D471" s="98" t="str"/>
      <x:c r="E471" s="98" t="str">
        <x:v>EOA_CANDIDATE</x:v>
      </x:c>
      <x:c r="F471" s="91" t="b">
        <x:v>0</x:v>
      </x:c>
      <x:c r="G471" s="89" t="n">
        <x:v>0</x:v>
      </x:c>
      <x:c r="H471" s="90" t="str">
        <x:v>3409100000000</x:v>
      </x:c>
      <x:c r="I471" s="92" t="n">
        <x:v>3.4091</x:v>
      </x:c>
      <x:c r="J471" s="92" t="str">
        <x:v>3409100000000000000</x:v>
      </x:c>
      <x:c r="K471" s="92" t="n">
        <x:v>3.4091</x:v>
      </x:c>
      <x:c r="L471" s="98" t="str">
        <x:v>PENDING_OWNER_ELIGIBILITY_APPROVAL</x:v>
      </x:c>
      <x:c r="M471" s="98" t="b">
        <x:f>IF(E471="EOA_CANDIDATE",I471&gt;='Decision Summary'!$B$11,FALSE)</x:f>
        <x:v>0</x:v>
      </x:c>
      <x:c r="N471" s="98" t="str">
        <x:f>IF(M471,"DRAFT INCLUDE","HOLD / EXCLUDE")</x:f>
        <x:v>HOLD / EXCLUDE</x:v>
      </x:c>
      <x:c r="O471" s="101" t="str">
        <x:f>IF(M471,C471,"")</x:f>
      </x:c>
      <x:c r="P471" s="98" t="str">
        <x:f>IF(N471="DRAFT INCLUDE",ROUNDUP(COUNTIF($N$6:N471,"DRAFT INCLUDE")/'Decision Summary'!$B$12,0),"")</x:f>
      </x:c>
      <x:c r="Q471" s="98" t="str">
        <x:f>IF(N471="DRAFT INCLUDE",MOD(COUNTIF($N$6:N471,"DRAFT INCLUDE")-1,'Decision Summary'!$B$12)+1,"")</x:f>
      </x:c>
      <x:c r="R471" s="98" t="str">
        <x:v>PENDING</x:v>
      </x:c>
      <x:c r="S471" s="98" t="str"/>
      <x:c r="T471" s="98" t="str">
        <x:v>Ordinary EOA candidate; inclusion still depends on V1 deprecation, threshold policy and owner approval.</x:v>
      </x:c>
      <x:c r="U471" s="89" t="str">
        <x:v>https://etherscan.io/token/0x445d03f499f1c150615957bb87588fb465fc91cc#balances</x:v>
      </x:c>
      <x:c r="V471" s="89" t="b">
        <x:f>COUNTIF($C$6:$C$502,C471)&gt;1</x:f>
        <x:v>0</x:v>
      </x:c>
    </x:row>
    <x:row r="472">
      <x:c r="A472" s="89" t="n">
        <x:v>467</x:v>
      </x:c>
      <x:c r="B472" s="89" t="str">
        <x:v>v1-mainnet-0467</x:v>
      </x:c>
      <x:c r="C472" s="90" t="str">
        <x:v>0xa151cc494f1892ccaeebab8a37601fb02e416036</x:v>
      </x:c>
      <x:c r="D472" s="98" t="str"/>
      <x:c r="E472" s="98" t="str">
        <x:v>EOA_CANDIDATE</x:v>
      </x:c>
      <x:c r="F472" s="91" t="b">
        <x:v>0</x:v>
      </x:c>
      <x:c r="G472" s="89" t="n">
        <x:v>0</x:v>
      </x:c>
      <x:c r="H472" s="90" t="str">
        <x:v>3409100000000</x:v>
      </x:c>
      <x:c r="I472" s="92" t="n">
        <x:v>3.4091</x:v>
      </x:c>
      <x:c r="J472" s="92" t="str">
        <x:v>3409100000000000000</x:v>
      </x:c>
      <x:c r="K472" s="92" t="n">
        <x:v>3.4091</x:v>
      </x:c>
      <x:c r="L472" s="98" t="str">
        <x:v>PENDING_OWNER_ELIGIBILITY_APPROVAL</x:v>
      </x:c>
      <x:c r="M472" s="98" t="b">
        <x:f>IF(E472="EOA_CANDIDATE",I472&gt;='Decision Summary'!$B$11,FALSE)</x:f>
        <x:v>0</x:v>
      </x:c>
      <x:c r="N472" s="98" t="str">
        <x:f>IF(M472,"DRAFT INCLUDE","HOLD / EXCLUDE")</x:f>
        <x:v>HOLD / EXCLUDE</x:v>
      </x:c>
      <x:c r="O472" s="101" t="str">
        <x:f>IF(M472,C472,"")</x:f>
      </x:c>
      <x:c r="P472" s="98" t="str">
        <x:f>IF(N472="DRAFT INCLUDE",ROUNDUP(COUNTIF($N$6:N472,"DRAFT INCLUDE")/'Decision Summary'!$B$12,0),"")</x:f>
      </x:c>
      <x:c r="Q472" s="98" t="str">
        <x:f>IF(N472="DRAFT INCLUDE",MOD(COUNTIF($N$6:N472,"DRAFT INCLUDE")-1,'Decision Summary'!$B$12)+1,"")</x:f>
      </x:c>
      <x:c r="R472" s="98" t="str">
        <x:v>PENDING</x:v>
      </x:c>
      <x:c r="S472" s="98" t="str"/>
      <x:c r="T472" s="98" t="str">
        <x:v>Ordinary EOA candidate; inclusion still depends on V1 deprecation, threshold policy and owner approval.</x:v>
      </x:c>
      <x:c r="U472" s="89" t="str">
        <x:v>https://etherscan.io/token/0x445d03f499f1c150615957bb87588fb465fc91cc#balances</x:v>
      </x:c>
      <x:c r="V472" s="89" t="b">
        <x:f>COUNTIF($C$6:$C$502,C472)&gt;1</x:f>
        <x:v>0</x:v>
      </x:c>
    </x:row>
    <x:row r="473">
      <x:c r="A473" s="89" t="n">
        <x:v>468</x:v>
      </x:c>
      <x:c r="B473" s="89" t="str">
        <x:v>v1-mainnet-0468</x:v>
      </x:c>
      <x:c r="C473" s="90" t="str">
        <x:v>0xe88b70c7145963054ae2bca72141d9008609daca</x:v>
      </x:c>
      <x:c r="D473" s="98" t="str"/>
      <x:c r="E473" s="98" t="str">
        <x:v>EOA_CANDIDATE</x:v>
      </x:c>
      <x:c r="F473" s="91" t="b">
        <x:v>0</x:v>
      </x:c>
      <x:c r="G473" s="89" t="n">
        <x:v>0</x:v>
      </x:c>
      <x:c r="H473" s="90" t="str">
        <x:v>3391500000000</x:v>
      </x:c>
      <x:c r="I473" s="92" t="n">
        <x:v>3.3915</x:v>
      </x:c>
      <x:c r="J473" s="92" t="str">
        <x:v>3391500000000000000</x:v>
      </x:c>
      <x:c r="K473" s="92" t="n">
        <x:v>3.3915</x:v>
      </x:c>
      <x:c r="L473" s="98" t="str">
        <x:v>PENDING_OWNER_ELIGIBILITY_APPROVAL</x:v>
      </x:c>
      <x:c r="M473" s="98" t="b">
        <x:f>IF(E473="EOA_CANDIDATE",I473&gt;='Decision Summary'!$B$11,FALSE)</x:f>
        <x:v>0</x:v>
      </x:c>
      <x:c r="N473" s="98" t="str">
        <x:f>IF(M473,"DRAFT INCLUDE","HOLD / EXCLUDE")</x:f>
        <x:v>HOLD / EXCLUDE</x:v>
      </x:c>
      <x:c r="O473" s="101" t="str">
        <x:f>IF(M473,C473,"")</x:f>
      </x:c>
      <x:c r="P473" s="98" t="str">
        <x:f>IF(N473="DRAFT INCLUDE",ROUNDUP(COUNTIF($N$6:N473,"DRAFT INCLUDE")/'Decision Summary'!$B$12,0),"")</x:f>
      </x:c>
      <x:c r="Q473" s="98" t="str">
        <x:f>IF(N473="DRAFT INCLUDE",MOD(COUNTIF($N$6:N473,"DRAFT INCLUDE")-1,'Decision Summary'!$B$12)+1,"")</x:f>
      </x:c>
      <x:c r="R473" s="98" t="str">
        <x:v>PENDING</x:v>
      </x:c>
      <x:c r="S473" s="98" t="str"/>
      <x:c r="T473" s="98" t="str">
        <x:v>Ordinary EOA candidate; inclusion still depends on V1 deprecation, threshold policy and owner approval.</x:v>
      </x:c>
      <x:c r="U473" s="89" t="str">
        <x:v>https://etherscan.io/token/0x445d03f499f1c150615957bb87588fb465fc91cc#balances</x:v>
      </x:c>
      <x:c r="V473" s="89" t="b">
        <x:f>COUNTIF($C$6:$C$502,C473)&gt;1</x:f>
        <x:v>0</x:v>
      </x:c>
    </x:row>
    <x:row r="474">
      <x:c r="A474" s="89" t="n">
        <x:v>469</x:v>
      </x:c>
      <x:c r="B474" s="89" t="str">
        <x:v>v1-mainnet-0469</x:v>
      </x:c>
      <x:c r="C474" s="90" t="str">
        <x:v>0xd698f8095e269563c1d701392084b4c548aeab19</x:v>
      </x:c>
      <x:c r="D474" s="98" t="str"/>
      <x:c r="E474" s="98" t="str">
        <x:v>EOA_CANDIDATE</x:v>
      </x:c>
      <x:c r="F474" s="91" t="b">
        <x:v>0</x:v>
      </x:c>
      <x:c r="G474" s="89" t="n">
        <x:v>0</x:v>
      </x:c>
      <x:c r="H474" s="90" t="str">
        <x:v>3383600000000</x:v>
      </x:c>
      <x:c r="I474" s="92" t="n">
        <x:v>3.3836</x:v>
      </x:c>
      <x:c r="J474" s="92" t="str">
        <x:v>3383600000000000000</x:v>
      </x:c>
      <x:c r="K474" s="92" t="n">
        <x:v>3.3836</x:v>
      </x:c>
      <x:c r="L474" s="98" t="str">
        <x:v>PENDING_OWNER_ELIGIBILITY_APPROVAL</x:v>
      </x:c>
      <x:c r="M474" s="98" t="b">
        <x:f>IF(E474="EOA_CANDIDATE",I474&gt;='Decision Summary'!$B$11,FALSE)</x:f>
        <x:v>0</x:v>
      </x:c>
      <x:c r="N474" s="98" t="str">
        <x:f>IF(M474,"DRAFT INCLUDE","HOLD / EXCLUDE")</x:f>
        <x:v>HOLD / EXCLUDE</x:v>
      </x:c>
      <x:c r="O474" s="101" t="str">
        <x:f>IF(M474,C474,"")</x:f>
      </x:c>
      <x:c r="P474" s="98" t="str">
        <x:f>IF(N474="DRAFT INCLUDE",ROUNDUP(COUNTIF($N$6:N474,"DRAFT INCLUDE")/'Decision Summary'!$B$12,0),"")</x:f>
      </x:c>
      <x:c r="Q474" s="98" t="str">
        <x:f>IF(N474="DRAFT INCLUDE",MOD(COUNTIF($N$6:N474,"DRAFT INCLUDE")-1,'Decision Summary'!$B$12)+1,"")</x:f>
      </x:c>
      <x:c r="R474" s="98" t="str">
        <x:v>PENDING</x:v>
      </x:c>
      <x:c r="S474" s="98" t="str"/>
      <x:c r="T474" s="98" t="str">
        <x:v>Ordinary EOA candidate; inclusion still depends on V1 deprecation, threshold policy and owner approval.</x:v>
      </x:c>
      <x:c r="U474" s="89" t="str">
        <x:v>https://etherscan.io/token/0x445d03f499f1c150615957bb87588fb465fc91cc#balances</x:v>
      </x:c>
      <x:c r="V474" s="89" t="b">
        <x:f>COUNTIF($C$6:$C$502,C474)&gt;1</x:f>
        <x:v>0</x:v>
      </x:c>
    </x:row>
    <x:row r="475">
      <x:c r="A475" s="89" t="n">
        <x:v>470</x:v>
      </x:c>
      <x:c r="B475" s="89" t="str">
        <x:v>v1-mainnet-0470</x:v>
      </x:c>
      <x:c r="C475" s="90" t="str">
        <x:v>0x262acb808b0d353128850b67f973b50bcf5accb3</x:v>
      </x:c>
      <x:c r="D475" s="98" t="str"/>
      <x:c r="E475" s="98" t="str">
        <x:v>EOA_CANDIDATE</x:v>
      </x:c>
      <x:c r="F475" s="91" t="b">
        <x:v>0</x:v>
      </x:c>
      <x:c r="G475" s="89" t="n">
        <x:v>0</x:v>
      </x:c>
      <x:c r="H475" s="90" t="str">
        <x:v>3353500000000</x:v>
      </x:c>
      <x:c r="I475" s="92" t="n">
        <x:v>3.3535</x:v>
      </x:c>
      <x:c r="J475" s="92" t="str">
        <x:v>3353500000000000000</x:v>
      </x:c>
      <x:c r="K475" s="92" t="n">
        <x:v>3.3535</x:v>
      </x:c>
      <x:c r="L475" s="98" t="str">
        <x:v>PENDING_OWNER_ELIGIBILITY_APPROVAL</x:v>
      </x:c>
      <x:c r="M475" s="98" t="b">
        <x:f>IF(E475="EOA_CANDIDATE",I475&gt;='Decision Summary'!$B$11,FALSE)</x:f>
        <x:v>0</x:v>
      </x:c>
      <x:c r="N475" s="98" t="str">
        <x:f>IF(M475,"DRAFT INCLUDE","HOLD / EXCLUDE")</x:f>
        <x:v>HOLD / EXCLUDE</x:v>
      </x:c>
      <x:c r="O475" s="101" t="str">
        <x:f>IF(M475,C475,"")</x:f>
      </x:c>
      <x:c r="P475" s="98" t="str">
        <x:f>IF(N475="DRAFT INCLUDE",ROUNDUP(COUNTIF($N$6:N475,"DRAFT INCLUDE")/'Decision Summary'!$B$12,0),"")</x:f>
      </x:c>
      <x:c r="Q475" s="98" t="str">
        <x:f>IF(N475="DRAFT INCLUDE",MOD(COUNTIF($N$6:N475,"DRAFT INCLUDE")-1,'Decision Summary'!$B$12)+1,"")</x:f>
      </x:c>
      <x:c r="R475" s="98" t="str">
        <x:v>PENDING</x:v>
      </x:c>
      <x:c r="S475" s="98" t="str"/>
      <x:c r="T475" s="98" t="str">
        <x:v>Ordinary EOA candidate; inclusion still depends on V1 deprecation, threshold policy and owner approval.</x:v>
      </x:c>
      <x:c r="U475" s="89" t="str">
        <x:v>https://etherscan.io/token/0x445d03f499f1c150615957bb87588fb465fc91cc#balances</x:v>
      </x:c>
      <x:c r="V475" s="89" t="b">
        <x:f>COUNTIF($C$6:$C$502,C475)&gt;1</x:f>
        <x:v>0</x:v>
      </x:c>
    </x:row>
    <x:row r="476">
      <x:c r="A476" s="89" t="n">
        <x:v>471</x:v>
      </x:c>
      <x:c r="B476" s="89" t="str">
        <x:v>v1-mainnet-0471</x:v>
      </x:c>
      <x:c r="C476" s="90" t="str">
        <x:v>0xf483db911fdab7e881047750ac54f353fb67483d</x:v>
      </x:c>
      <x:c r="D476" s="98" t="str"/>
      <x:c r="E476" s="98" t="str">
        <x:v>EOA_CANDIDATE</x:v>
      </x:c>
      <x:c r="F476" s="91" t="b">
        <x:v>0</x:v>
      </x:c>
      <x:c r="G476" s="89" t="n">
        <x:v>0</x:v>
      </x:c>
      <x:c r="H476" s="90" t="str">
        <x:v>3348700000000</x:v>
      </x:c>
      <x:c r="I476" s="92" t="n">
        <x:v>3.3487</x:v>
      </x:c>
      <x:c r="J476" s="92" t="str">
        <x:v>3348700000000000000</x:v>
      </x:c>
      <x:c r="K476" s="92" t="n">
        <x:v>3.3487</x:v>
      </x:c>
      <x:c r="L476" s="98" t="str">
        <x:v>PENDING_OWNER_ELIGIBILITY_APPROVAL</x:v>
      </x:c>
      <x:c r="M476" s="98" t="b">
        <x:f>IF(E476="EOA_CANDIDATE",I476&gt;='Decision Summary'!$B$11,FALSE)</x:f>
        <x:v>0</x:v>
      </x:c>
      <x:c r="N476" s="98" t="str">
        <x:f>IF(M476,"DRAFT INCLUDE","HOLD / EXCLUDE")</x:f>
        <x:v>HOLD / EXCLUDE</x:v>
      </x:c>
      <x:c r="O476" s="101" t="str">
        <x:f>IF(M476,C476,"")</x:f>
      </x:c>
      <x:c r="P476" s="98" t="str">
        <x:f>IF(N476="DRAFT INCLUDE",ROUNDUP(COUNTIF($N$6:N476,"DRAFT INCLUDE")/'Decision Summary'!$B$12,0),"")</x:f>
      </x:c>
      <x:c r="Q476" s="98" t="str">
        <x:f>IF(N476="DRAFT INCLUDE",MOD(COUNTIF($N$6:N476,"DRAFT INCLUDE")-1,'Decision Summary'!$B$12)+1,"")</x:f>
      </x:c>
      <x:c r="R476" s="98" t="str">
        <x:v>PENDING</x:v>
      </x:c>
      <x:c r="S476" s="98" t="str"/>
      <x:c r="T476" s="98" t="str">
        <x:v>Ordinary EOA candidate; inclusion still depends on V1 deprecation, threshold policy and owner approval.</x:v>
      </x:c>
      <x:c r="U476" s="89" t="str">
        <x:v>https://etherscan.io/token/0x445d03f499f1c150615957bb87588fb465fc91cc#balances</x:v>
      </x:c>
      <x:c r="V476" s="89" t="b">
        <x:f>COUNTIF($C$6:$C$502,C476)&gt;1</x:f>
        <x:v>0</x:v>
      </x:c>
    </x:row>
    <x:row r="477">
      <x:c r="A477" s="89" t="n">
        <x:v>472</x:v>
      </x:c>
      <x:c r="B477" s="89" t="str">
        <x:v>v1-mainnet-0472</x:v>
      </x:c>
      <x:c r="C477" s="90" t="str">
        <x:v>0xa19ea9b3384aba20b2b2e360d06e9d1dcc1eb14d</x:v>
      </x:c>
      <x:c r="D477" s="98" t="str"/>
      <x:c r="E477" s="98" t="str">
        <x:v>EOA_CANDIDATE</x:v>
      </x:c>
      <x:c r="F477" s="91" t="b">
        <x:v>0</x:v>
      </x:c>
      <x:c r="G477" s="89" t="n">
        <x:v>0</x:v>
      </x:c>
      <x:c r="H477" s="90" t="str">
        <x:v>3301000000000</x:v>
      </x:c>
      <x:c r="I477" s="92" t="n">
        <x:v>3.301</x:v>
      </x:c>
      <x:c r="J477" s="92" t="str">
        <x:v>3301000000000000000</x:v>
      </x:c>
      <x:c r="K477" s="92" t="n">
        <x:v>3.301</x:v>
      </x:c>
      <x:c r="L477" s="98" t="str">
        <x:v>PENDING_OWNER_ELIGIBILITY_APPROVAL</x:v>
      </x:c>
      <x:c r="M477" s="98" t="b">
        <x:f>IF(E477="EOA_CANDIDATE",I477&gt;='Decision Summary'!$B$11,FALSE)</x:f>
        <x:v>0</x:v>
      </x:c>
      <x:c r="N477" s="98" t="str">
        <x:f>IF(M477,"DRAFT INCLUDE","HOLD / EXCLUDE")</x:f>
        <x:v>HOLD / EXCLUDE</x:v>
      </x:c>
      <x:c r="O477" s="101" t="str">
        <x:f>IF(M477,C477,"")</x:f>
      </x:c>
      <x:c r="P477" s="98" t="str">
        <x:f>IF(N477="DRAFT INCLUDE",ROUNDUP(COUNTIF($N$6:N477,"DRAFT INCLUDE")/'Decision Summary'!$B$12,0),"")</x:f>
      </x:c>
      <x:c r="Q477" s="98" t="str">
        <x:f>IF(N477="DRAFT INCLUDE",MOD(COUNTIF($N$6:N477,"DRAFT INCLUDE")-1,'Decision Summary'!$B$12)+1,"")</x:f>
      </x:c>
      <x:c r="R477" s="98" t="str">
        <x:v>PENDING</x:v>
      </x:c>
      <x:c r="S477" s="98" t="str"/>
      <x:c r="T477" s="98" t="str">
        <x:v>Ordinary EOA candidate; inclusion still depends on V1 deprecation, threshold policy and owner approval.</x:v>
      </x:c>
      <x:c r="U477" s="89" t="str">
        <x:v>https://etherscan.io/token/0x445d03f499f1c150615957bb87588fb465fc91cc#balances</x:v>
      </x:c>
      <x:c r="V477" s="89" t="b">
        <x:f>COUNTIF($C$6:$C$502,C477)&gt;1</x:f>
        <x:v>0</x:v>
      </x:c>
    </x:row>
    <x:row r="478">
      <x:c r="A478" s="89" t="n">
        <x:v>473</x:v>
      </x:c>
      <x:c r="B478" s="89" t="str">
        <x:v>v1-mainnet-0473</x:v>
      </x:c>
      <x:c r="C478" s="90" t="str">
        <x:v>0xd4b1f4821e7629d95f9576f6dc034d0caca89ad2</x:v>
      </x:c>
      <x:c r="D478" s="98" t="str"/>
      <x:c r="E478" s="98" t="str">
        <x:v>EOA_CANDIDATE</x:v>
      </x:c>
      <x:c r="F478" s="91" t="b">
        <x:v>0</x:v>
      </x:c>
      <x:c r="G478" s="89" t="n">
        <x:v>0</x:v>
      </x:c>
      <x:c r="H478" s="90" t="str">
        <x:v>3297600000000</x:v>
      </x:c>
      <x:c r="I478" s="92" t="n">
        <x:v>3.2976</x:v>
      </x:c>
      <x:c r="J478" s="92" t="str">
        <x:v>3297600000000000000</x:v>
      </x:c>
      <x:c r="K478" s="92" t="n">
        <x:v>3.2976</x:v>
      </x:c>
      <x:c r="L478" s="98" t="str">
        <x:v>PENDING_OWNER_ELIGIBILITY_APPROVAL</x:v>
      </x:c>
      <x:c r="M478" s="98" t="b">
        <x:f>IF(E478="EOA_CANDIDATE",I478&gt;='Decision Summary'!$B$11,FALSE)</x:f>
        <x:v>0</x:v>
      </x:c>
      <x:c r="N478" s="98" t="str">
        <x:f>IF(M478,"DRAFT INCLUDE","HOLD / EXCLUDE")</x:f>
        <x:v>HOLD / EXCLUDE</x:v>
      </x:c>
      <x:c r="O478" s="101" t="str">
        <x:f>IF(M478,C478,"")</x:f>
      </x:c>
      <x:c r="P478" s="98" t="str">
        <x:f>IF(N478="DRAFT INCLUDE",ROUNDUP(COUNTIF($N$6:N478,"DRAFT INCLUDE")/'Decision Summary'!$B$12,0),"")</x:f>
      </x:c>
      <x:c r="Q478" s="98" t="str">
        <x:f>IF(N478="DRAFT INCLUDE",MOD(COUNTIF($N$6:N478,"DRAFT INCLUDE")-1,'Decision Summary'!$B$12)+1,"")</x:f>
      </x:c>
      <x:c r="R478" s="98" t="str">
        <x:v>PENDING</x:v>
      </x:c>
      <x:c r="S478" s="98" t="str"/>
      <x:c r="T478" s="98" t="str">
        <x:v>Ordinary EOA candidate; inclusion still depends on V1 deprecation, threshold policy and owner approval.</x:v>
      </x:c>
      <x:c r="U478" s="89" t="str">
        <x:v>https://etherscan.io/token/0x445d03f499f1c150615957bb87588fb465fc91cc#balances</x:v>
      </x:c>
      <x:c r="V478" s="89" t="b">
        <x:f>COUNTIF($C$6:$C$502,C478)&gt;1</x:f>
        <x:v>0</x:v>
      </x:c>
    </x:row>
    <x:row r="479">
      <x:c r="A479" s="89" t="n">
        <x:v>474</x:v>
      </x:c>
      <x:c r="B479" s="89" t="str">
        <x:v>v1-mainnet-0474</x:v>
      </x:c>
      <x:c r="C479" s="90" t="str">
        <x:v>0x85d03006baca5b80ebfe66b0972ee3e41ddca7d8</x:v>
      </x:c>
      <x:c r="D479" s="98" t="str"/>
      <x:c r="E479" s="98" t="str">
        <x:v>EOA_CANDIDATE</x:v>
      </x:c>
      <x:c r="F479" s="91" t="b">
        <x:v>0</x:v>
      </x:c>
      <x:c r="G479" s="89" t="n">
        <x:v>0</x:v>
      </x:c>
      <x:c r="H479" s="90" t="str">
        <x:v>3266500000000</x:v>
      </x:c>
      <x:c r="I479" s="92" t="n">
        <x:v>3.2665</x:v>
      </x:c>
      <x:c r="J479" s="92" t="str">
        <x:v>3266500000000000000</x:v>
      </x:c>
      <x:c r="K479" s="92" t="n">
        <x:v>3.2665</x:v>
      </x:c>
      <x:c r="L479" s="98" t="str">
        <x:v>PENDING_OWNER_ELIGIBILITY_APPROVAL</x:v>
      </x:c>
      <x:c r="M479" s="98" t="b">
        <x:f>IF(E479="EOA_CANDIDATE",I479&gt;='Decision Summary'!$B$11,FALSE)</x:f>
        <x:v>0</x:v>
      </x:c>
      <x:c r="N479" s="98" t="str">
        <x:f>IF(M479,"DRAFT INCLUDE","HOLD / EXCLUDE")</x:f>
        <x:v>HOLD / EXCLUDE</x:v>
      </x:c>
      <x:c r="O479" s="101" t="str">
        <x:f>IF(M479,C479,"")</x:f>
      </x:c>
      <x:c r="P479" s="98" t="str">
        <x:f>IF(N479="DRAFT INCLUDE",ROUNDUP(COUNTIF($N$6:N479,"DRAFT INCLUDE")/'Decision Summary'!$B$12,0),"")</x:f>
      </x:c>
      <x:c r="Q479" s="98" t="str">
        <x:f>IF(N479="DRAFT INCLUDE",MOD(COUNTIF($N$6:N479,"DRAFT INCLUDE")-1,'Decision Summary'!$B$12)+1,"")</x:f>
      </x:c>
      <x:c r="R479" s="98" t="str">
        <x:v>PENDING</x:v>
      </x:c>
      <x:c r="S479" s="98" t="str"/>
      <x:c r="T479" s="98" t="str">
        <x:v>Ordinary EOA candidate; inclusion still depends on V1 deprecation, threshold policy and owner approval.</x:v>
      </x:c>
      <x:c r="U479" s="89" t="str">
        <x:v>https://etherscan.io/token/0x445d03f499f1c150615957bb87588fb465fc91cc#balances</x:v>
      </x:c>
      <x:c r="V479" s="89" t="b">
        <x:f>COUNTIF($C$6:$C$502,C479)&gt;1</x:f>
        <x:v>0</x:v>
      </x:c>
    </x:row>
    <x:row r="480">
      <x:c r="A480" s="89" t="n">
        <x:v>475</x:v>
      </x:c>
      <x:c r="B480" s="89" t="str">
        <x:v>v1-mainnet-0475</x:v>
      </x:c>
      <x:c r="C480" s="90" t="str">
        <x:v>0x5307428a39e3fd9bbc84581e9fd9912dc698b9e0</x:v>
      </x:c>
      <x:c r="D480" s="98" t="str"/>
      <x:c r="E480" s="98" t="str">
        <x:v>EOA_CANDIDATE</x:v>
      </x:c>
      <x:c r="F480" s="91" t="b">
        <x:v>0</x:v>
      </x:c>
      <x:c r="G480" s="89" t="n">
        <x:v>0</x:v>
      </x:c>
      <x:c r="H480" s="90" t="str">
        <x:v>3253100000000</x:v>
      </x:c>
      <x:c r="I480" s="92" t="n">
        <x:v>3.2531</x:v>
      </x:c>
      <x:c r="J480" s="92" t="str">
        <x:v>3253100000000000000</x:v>
      </x:c>
      <x:c r="K480" s="92" t="n">
        <x:v>3.2531</x:v>
      </x:c>
      <x:c r="L480" s="98" t="str">
        <x:v>PENDING_OWNER_ELIGIBILITY_APPROVAL</x:v>
      </x:c>
      <x:c r="M480" s="98" t="b">
        <x:f>IF(E480="EOA_CANDIDATE",I480&gt;='Decision Summary'!$B$11,FALSE)</x:f>
        <x:v>0</x:v>
      </x:c>
      <x:c r="N480" s="98" t="str">
        <x:f>IF(M480,"DRAFT INCLUDE","HOLD / EXCLUDE")</x:f>
        <x:v>HOLD / EXCLUDE</x:v>
      </x:c>
      <x:c r="O480" s="101" t="str">
        <x:f>IF(M480,C480,"")</x:f>
      </x:c>
      <x:c r="P480" s="98" t="str">
        <x:f>IF(N480="DRAFT INCLUDE",ROUNDUP(COUNTIF($N$6:N480,"DRAFT INCLUDE")/'Decision Summary'!$B$12,0),"")</x:f>
      </x:c>
      <x:c r="Q480" s="98" t="str">
        <x:f>IF(N480="DRAFT INCLUDE",MOD(COUNTIF($N$6:N480,"DRAFT INCLUDE")-1,'Decision Summary'!$B$12)+1,"")</x:f>
      </x:c>
      <x:c r="R480" s="98" t="str">
        <x:v>PENDING</x:v>
      </x:c>
      <x:c r="S480" s="98" t="str"/>
      <x:c r="T480" s="98" t="str">
        <x:v>Ordinary EOA candidate; inclusion still depends on V1 deprecation, threshold policy and owner approval.</x:v>
      </x:c>
      <x:c r="U480" s="89" t="str">
        <x:v>https://etherscan.io/token/0x445d03f499f1c150615957bb87588fb465fc91cc#balances</x:v>
      </x:c>
      <x:c r="V480" s="89" t="b">
        <x:f>COUNTIF($C$6:$C$502,C480)&gt;1</x:f>
        <x:v>0</x:v>
      </x:c>
    </x:row>
    <x:row r="481">
      <x:c r="A481" s="89" t="n">
        <x:v>476</x:v>
      </x:c>
      <x:c r="B481" s="89" t="str">
        <x:v>v1-mainnet-0476</x:v>
      </x:c>
      <x:c r="C481" s="90" t="str">
        <x:v>0xf6ece3621b129fdcd24a8a51f26b85b255078897</x:v>
      </x:c>
      <x:c r="D481" s="98" t="str"/>
      <x:c r="E481" s="98" t="str">
        <x:v>EOA_CANDIDATE</x:v>
      </x:c>
      <x:c r="F481" s="91" t="b">
        <x:v>0</x:v>
      </x:c>
      <x:c r="G481" s="89" t="n">
        <x:v>0</x:v>
      </x:c>
      <x:c r="H481" s="90" t="str">
        <x:v>3240800000000</x:v>
      </x:c>
      <x:c r="I481" s="92" t="n">
        <x:v>3.2408</x:v>
      </x:c>
      <x:c r="J481" s="92" t="str">
        <x:v>3240800000000000000</x:v>
      </x:c>
      <x:c r="K481" s="92" t="n">
        <x:v>3.2408</x:v>
      </x:c>
      <x:c r="L481" s="98" t="str">
        <x:v>PENDING_OWNER_ELIGIBILITY_APPROVAL</x:v>
      </x:c>
      <x:c r="M481" s="98" t="b">
        <x:f>IF(E481="EOA_CANDIDATE",I481&gt;='Decision Summary'!$B$11,FALSE)</x:f>
        <x:v>0</x:v>
      </x:c>
      <x:c r="N481" s="98" t="str">
        <x:f>IF(M481,"DRAFT INCLUDE","HOLD / EXCLUDE")</x:f>
        <x:v>HOLD / EXCLUDE</x:v>
      </x:c>
      <x:c r="O481" s="101" t="str">
        <x:f>IF(M481,C481,"")</x:f>
      </x:c>
      <x:c r="P481" s="98" t="str">
        <x:f>IF(N481="DRAFT INCLUDE",ROUNDUP(COUNTIF($N$6:N481,"DRAFT INCLUDE")/'Decision Summary'!$B$12,0),"")</x:f>
      </x:c>
      <x:c r="Q481" s="98" t="str">
        <x:f>IF(N481="DRAFT INCLUDE",MOD(COUNTIF($N$6:N481,"DRAFT INCLUDE")-1,'Decision Summary'!$B$12)+1,"")</x:f>
      </x:c>
      <x:c r="R481" s="98" t="str">
        <x:v>PENDING</x:v>
      </x:c>
      <x:c r="S481" s="98" t="str"/>
      <x:c r="T481" s="98" t="str">
        <x:v>Ordinary EOA candidate; inclusion still depends on V1 deprecation, threshold policy and owner approval.</x:v>
      </x:c>
      <x:c r="U481" s="89" t="str">
        <x:v>https://etherscan.io/token/0x445d03f499f1c150615957bb87588fb465fc91cc#balances</x:v>
      </x:c>
      <x:c r="V481" s="89" t="b">
        <x:f>COUNTIF($C$6:$C$502,C481)&gt;1</x:f>
        <x:v>0</x:v>
      </x:c>
    </x:row>
    <x:row r="482">
      <x:c r="A482" s="89" t="n">
        <x:v>477</x:v>
      </x:c>
      <x:c r="B482" s="89" t="str">
        <x:v>v1-mainnet-0477</x:v>
      </x:c>
      <x:c r="C482" s="90" t="str">
        <x:v>0xddbf0cacc40dad8d78a9ed7ba4940a36b9a37cbf</x:v>
      </x:c>
      <x:c r="D482" s="98" t="str"/>
      <x:c r="E482" s="98" t="str">
        <x:v>EOA_CANDIDATE</x:v>
      </x:c>
      <x:c r="F482" s="91" t="b">
        <x:v>0</x:v>
      </x:c>
      <x:c r="G482" s="89" t="n">
        <x:v>0</x:v>
      </x:c>
      <x:c r="H482" s="90" t="str">
        <x:v>3209700000000</x:v>
      </x:c>
      <x:c r="I482" s="92" t="n">
        <x:v>3.2097</x:v>
      </x:c>
      <x:c r="J482" s="92" t="str">
        <x:v>3209700000000000000</x:v>
      </x:c>
      <x:c r="K482" s="92" t="n">
        <x:v>3.2097</x:v>
      </x:c>
      <x:c r="L482" s="98" t="str">
        <x:v>PENDING_OWNER_ELIGIBILITY_APPROVAL</x:v>
      </x:c>
      <x:c r="M482" s="98" t="b">
        <x:f>IF(E482="EOA_CANDIDATE",I482&gt;='Decision Summary'!$B$11,FALSE)</x:f>
        <x:v>0</x:v>
      </x:c>
      <x:c r="N482" s="98" t="str">
        <x:f>IF(M482,"DRAFT INCLUDE","HOLD / EXCLUDE")</x:f>
        <x:v>HOLD / EXCLUDE</x:v>
      </x:c>
      <x:c r="O482" s="101" t="str">
        <x:f>IF(M482,C482,"")</x:f>
      </x:c>
      <x:c r="P482" s="98" t="str">
        <x:f>IF(N482="DRAFT INCLUDE",ROUNDUP(COUNTIF($N$6:N482,"DRAFT INCLUDE")/'Decision Summary'!$B$12,0),"")</x:f>
      </x:c>
      <x:c r="Q482" s="98" t="str">
        <x:f>IF(N482="DRAFT INCLUDE",MOD(COUNTIF($N$6:N482,"DRAFT INCLUDE")-1,'Decision Summary'!$B$12)+1,"")</x:f>
      </x:c>
      <x:c r="R482" s="98" t="str">
        <x:v>PENDING</x:v>
      </x:c>
      <x:c r="S482" s="98" t="str"/>
      <x:c r="T482" s="98" t="str">
        <x:v>Ordinary EOA candidate; inclusion still depends on V1 deprecation, threshold policy and owner approval.</x:v>
      </x:c>
      <x:c r="U482" s="89" t="str">
        <x:v>https://etherscan.io/token/0x445d03f499f1c150615957bb87588fb465fc91cc#balances</x:v>
      </x:c>
      <x:c r="V482" s="89" t="b">
        <x:f>COUNTIF($C$6:$C$502,C482)&gt;1</x:f>
        <x:v>0</x:v>
      </x:c>
    </x:row>
    <x:row r="483">
      <x:c r="A483" s="89" t="n">
        <x:v>478</x:v>
      </x:c>
      <x:c r="B483" s="89" t="str">
        <x:v>v1-mainnet-0478</x:v>
      </x:c>
      <x:c r="C483" s="90" t="str">
        <x:v>0x7c5b5e2b198bf578edacf781ec3c3dd5347b0889</x:v>
      </x:c>
      <x:c r="D483" s="98" t="str"/>
      <x:c r="E483" s="98" t="str">
        <x:v>EOA_CANDIDATE</x:v>
      </x:c>
      <x:c r="F483" s="91" t="b">
        <x:v>0</x:v>
      </x:c>
      <x:c r="G483" s="89" t="n">
        <x:v>0</x:v>
      </x:c>
      <x:c r="H483" s="90" t="str">
        <x:v>3189500000000</x:v>
      </x:c>
      <x:c r="I483" s="92" t="n">
        <x:v>3.1895</x:v>
      </x:c>
      <x:c r="J483" s="92" t="str">
        <x:v>3189500000000000000</x:v>
      </x:c>
      <x:c r="K483" s="92" t="n">
        <x:v>3.1895</x:v>
      </x:c>
      <x:c r="L483" s="98" t="str">
        <x:v>PENDING_OWNER_ELIGIBILITY_APPROVAL</x:v>
      </x:c>
      <x:c r="M483" s="98" t="b">
        <x:f>IF(E483="EOA_CANDIDATE",I483&gt;='Decision Summary'!$B$11,FALSE)</x:f>
        <x:v>0</x:v>
      </x:c>
      <x:c r="N483" s="98" t="str">
        <x:f>IF(M483,"DRAFT INCLUDE","HOLD / EXCLUDE")</x:f>
        <x:v>HOLD / EXCLUDE</x:v>
      </x:c>
      <x:c r="O483" s="101" t="str">
        <x:f>IF(M483,C483,"")</x:f>
      </x:c>
      <x:c r="P483" s="98" t="str">
        <x:f>IF(N483="DRAFT INCLUDE",ROUNDUP(COUNTIF($N$6:N483,"DRAFT INCLUDE")/'Decision Summary'!$B$12,0),"")</x:f>
      </x:c>
      <x:c r="Q483" s="98" t="str">
        <x:f>IF(N483="DRAFT INCLUDE",MOD(COUNTIF($N$6:N483,"DRAFT INCLUDE")-1,'Decision Summary'!$B$12)+1,"")</x:f>
      </x:c>
      <x:c r="R483" s="98" t="str">
        <x:v>PENDING</x:v>
      </x:c>
      <x:c r="S483" s="98" t="str"/>
      <x:c r="T483" s="98" t="str">
        <x:v>Ordinary EOA candidate; inclusion still depends on V1 deprecation, threshold policy and owner approval.</x:v>
      </x:c>
      <x:c r="U483" s="89" t="str">
        <x:v>https://etherscan.io/token/0x445d03f499f1c150615957bb87588fb465fc91cc#balances</x:v>
      </x:c>
      <x:c r="V483" s="89" t="b">
        <x:f>COUNTIF($C$6:$C$502,C483)&gt;1</x:f>
        <x:v>0</x:v>
      </x:c>
    </x:row>
    <x:row r="484">
      <x:c r="A484" s="89" t="n">
        <x:v>479</x:v>
      </x:c>
      <x:c r="B484" s="89" t="str">
        <x:v>v1-mainnet-0479</x:v>
      </x:c>
      <x:c r="C484" s="90" t="str">
        <x:v>0x728c7a6f158409bc4b7aba4e0a28a556ca394a11</x:v>
      </x:c>
      <x:c r="D484" s="98" t="str"/>
      <x:c r="E484" s="98" t="str">
        <x:v>EOA_CANDIDATE</x:v>
      </x:c>
      <x:c r="F484" s="91" t="b">
        <x:v>0</x:v>
      </x:c>
      <x:c r="G484" s="89" t="n">
        <x:v>0</x:v>
      </x:c>
      <x:c r="H484" s="90" t="str">
        <x:v>3186400000000</x:v>
      </x:c>
      <x:c r="I484" s="92" t="n">
        <x:v>3.1864</x:v>
      </x:c>
      <x:c r="J484" s="92" t="str">
        <x:v>3186400000000000000</x:v>
      </x:c>
      <x:c r="K484" s="92" t="n">
        <x:v>3.1864</x:v>
      </x:c>
      <x:c r="L484" s="98" t="str">
        <x:v>PENDING_OWNER_ELIGIBILITY_APPROVAL</x:v>
      </x:c>
      <x:c r="M484" s="98" t="b">
        <x:f>IF(E484="EOA_CANDIDATE",I484&gt;='Decision Summary'!$B$11,FALSE)</x:f>
        <x:v>0</x:v>
      </x:c>
      <x:c r="N484" s="98" t="str">
        <x:f>IF(M484,"DRAFT INCLUDE","HOLD / EXCLUDE")</x:f>
        <x:v>HOLD / EXCLUDE</x:v>
      </x:c>
      <x:c r="O484" s="101" t="str">
        <x:f>IF(M484,C484,"")</x:f>
      </x:c>
      <x:c r="P484" s="98" t="str">
        <x:f>IF(N484="DRAFT INCLUDE",ROUNDUP(COUNTIF($N$6:N484,"DRAFT INCLUDE")/'Decision Summary'!$B$12,0),"")</x:f>
      </x:c>
      <x:c r="Q484" s="98" t="str">
        <x:f>IF(N484="DRAFT INCLUDE",MOD(COUNTIF($N$6:N484,"DRAFT INCLUDE")-1,'Decision Summary'!$B$12)+1,"")</x:f>
      </x:c>
      <x:c r="R484" s="98" t="str">
        <x:v>PENDING</x:v>
      </x:c>
      <x:c r="S484" s="98" t="str"/>
      <x:c r="T484" s="98" t="str">
        <x:v>Ordinary EOA candidate; inclusion still depends on V1 deprecation, threshold policy and owner approval.</x:v>
      </x:c>
      <x:c r="U484" s="89" t="str">
        <x:v>https://etherscan.io/token/0x445d03f499f1c150615957bb87588fb465fc91cc#balances</x:v>
      </x:c>
      <x:c r="V484" s="89" t="b">
        <x:f>COUNTIF($C$6:$C$502,C484)&gt;1</x:f>
        <x:v>0</x:v>
      </x:c>
    </x:row>
    <x:row r="485">
      <x:c r="A485" s="89" t="n">
        <x:v>480</x:v>
      </x:c>
      <x:c r="B485" s="89" t="str">
        <x:v>v1-mainnet-0480</x:v>
      </x:c>
      <x:c r="C485" s="90" t="str">
        <x:v>0x3ae828230ee77a2b09ddbc1dd8e8ffc44b9fa89e</x:v>
      </x:c>
      <x:c r="D485" s="98" t="str"/>
      <x:c r="E485" s="98" t="str">
        <x:v>EOA_CANDIDATE</x:v>
      </x:c>
      <x:c r="F485" s="91" t="b">
        <x:v>0</x:v>
      </x:c>
      <x:c r="G485" s="89" t="n">
        <x:v>0</x:v>
      </x:c>
      <x:c r="H485" s="90" t="str">
        <x:v>3157100000000</x:v>
      </x:c>
      <x:c r="I485" s="92" t="n">
        <x:v>3.1571</x:v>
      </x:c>
      <x:c r="J485" s="92" t="str">
        <x:v>3157100000000000000</x:v>
      </x:c>
      <x:c r="K485" s="92" t="n">
        <x:v>3.1571</x:v>
      </x:c>
      <x:c r="L485" s="98" t="str">
        <x:v>PENDING_OWNER_ELIGIBILITY_APPROVAL</x:v>
      </x:c>
      <x:c r="M485" s="98" t="b">
        <x:f>IF(E485="EOA_CANDIDATE",I485&gt;='Decision Summary'!$B$11,FALSE)</x:f>
        <x:v>0</x:v>
      </x:c>
      <x:c r="N485" s="98" t="str">
        <x:f>IF(M485,"DRAFT INCLUDE","HOLD / EXCLUDE")</x:f>
        <x:v>HOLD / EXCLUDE</x:v>
      </x:c>
      <x:c r="O485" s="101" t="str">
        <x:f>IF(M485,C485,"")</x:f>
      </x:c>
      <x:c r="P485" s="98" t="str">
        <x:f>IF(N485="DRAFT INCLUDE",ROUNDUP(COUNTIF($N$6:N485,"DRAFT INCLUDE")/'Decision Summary'!$B$12,0),"")</x:f>
      </x:c>
      <x:c r="Q485" s="98" t="str">
        <x:f>IF(N485="DRAFT INCLUDE",MOD(COUNTIF($N$6:N485,"DRAFT INCLUDE")-1,'Decision Summary'!$B$12)+1,"")</x:f>
      </x:c>
      <x:c r="R485" s="98" t="str">
        <x:v>PENDING</x:v>
      </x:c>
      <x:c r="S485" s="98" t="str"/>
      <x:c r="T485" s="98" t="str">
        <x:v>Ordinary EOA candidate; inclusion still depends on V1 deprecation, threshold policy and owner approval.</x:v>
      </x:c>
      <x:c r="U485" s="89" t="str">
        <x:v>https://etherscan.io/token/0x445d03f499f1c150615957bb87588fb465fc91cc#balances</x:v>
      </x:c>
      <x:c r="V485" s="89" t="b">
        <x:f>COUNTIF($C$6:$C$502,C485)&gt;1</x:f>
        <x:v>0</x:v>
      </x:c>
    </x:row>
    <x:row r="486">
      <x:c r="A486" s="89" t="n">
        <x:v>481</x:v>
      </x:c>
      <x:c r="B486" s="89" t="str">
        <x:v>v1-mainnet-0481</x:v>
      </x:c>
      <x:c r="C486" s="90" t="str">
        <x:v>0x57eb6fa133795b6f38166faef68ee5d7e4b0d032</x:v>
      </x:c>
      <x:c r="D486" s="98" t="str"/>
      <x:c r="E486" s="98" t="str">
        <x:v>EOA_CANDIDATE</x:v>
      </x:c>
      <x:c r="F486" s="91" t="b">
        <x:v>0</x:v>
      </x:c>
      <x:c r="G486" s="89" t="n">
        <x:v>0</x:v>
      </x:c>
      <x:c r="H486" s="90" t="str">
        <x:v>3088400000000</x:v>
      </x:c>
      <x:c r="I486" s="92" t="n">
        <x:v>3.0884</x:v>
      </x:c>
      <x:c r="J486" s="92" t="str">
        <x:v>3088400000000000000</x:v>
      </x:c>
      <x:c r="K486" s="92" t="n">
        <x:v>3.0884</x:v>
      </x:c>
      <x:c r="L486" s="98" t="str">
        <x:v>PENDING_OWNER_ELIGIBILITY_APPROVAL</x:v>
      </x:c>
      <x:c r="M486" s="98" t="b">
        <x:f>IF(E486="EOA_CANDIDATE",I486&gt;='Decision Summary'!$B$11,FALSE)</x:f>
        <x:v>0</x:v>
      </x:c>
      <x:c r="N486" s="98" t="str">
        <x:f>IF(M486,"DRAFT INCLUDE","HOLD / EXCLUDE")</x:f>
        <x:v>HOLD / EXCLUDE</x:v>
      </x:c>
      <x:c r="O486" s="101" t="str">
        <x:f>IF(M486,C486,"")</x:f>
      </x:c>
      <x:c r="P486" s="98" t="str">
        <x:f>IF(N486="DRAFT INCLUDE",ROUNDUP(COUNTIF($N$6:N486,"DRAFT INCLUDE")/'Decision Summary'!$B$12,0),"")</x:f>
      </x:c>
      <x:c r="Q486" s="98" t="str">
        <x:f>IF(N486="DRAFT INCLUDE",MOD(COUNTIF($N$6:N486,"DRAFT INCLUDE")-1,'Decision Summary'!$B$12)+1,"")</x:f>
      </x:c>
      <x:c r="R486" s="98" t="str">
        <x:v>PENDING</x:v>
      </x:c>
      <x:c r="S486" s="98" t="str"/>
      <x:c r="T486" s="98" t="str">
        <x:v>Ordinary EOA candidate; inclusion still depends on V1 deprecation, threshold policy and owner approval.</x:v>
      </x:c>
      <x:c r="U486" s="89" t="str">
        <x:v>https://etherscan.io/token/0x445d03f499f1c150615957bb87588fb465fc91cc#balances</x:v>
      </x:c>
      <x:c r="V486" s="89" t="b">
        <x:f>COUNTIF($C$6:$C$502,C486)&gt;1</x:f>
        <x:v>0</x:v>
      </x:c>
    </x:row>
    <x:row r="487">
      <x:c r="A487" s="89" t="n">
        <x:v>482</x:v>
      </x:c>
      <x:c r="B487" s="89" t="str">
        <x:v>v1-mainnet-0482</x:v>
      </x:c>
      <x:c r="C487" s="90" t="str">
        <x:v>0x8a84fa39227e85ee21c98b2bf11293b0b4d00c41</x:v>
      </x:c>
      <x:c r="D487" s="98" t="str"/>
      <x:c r="E487" s="98" t="str">
        <x:v>EOA_CANDIDATE</x:v>
      </x:c>
      <x:c r="F487" s="91" t="b">
        <x:v>0</x:v>
      </x:c>
      <x:c r="G487" s="89" t="n">
        <x:v>0</x:v>
      </x:c>
      <x:c r="H487" s="90" t="str">
        <x:v>3064900000000</x:v>
      </x:c>
      <x:c r="I487" s="92" t="n">
        <x:v>3.0649</x:v>
      </x:c>
      <x:c r="J487" s="92" t="str">
        <x:v>3064900000000000000</x:v>
      </x:c>
      <x:c r="K487" s="92" t="n">
        <x:v>3.0649</x:v>
      </x:c>
      <x:c r="L487" s="98" t="str">
        <x:v>PENDING_OWNER_ELIGIBILITY_APPROVAL</x:v>
      </x:c>
      <x:c r="M487" s="98" t="b">
        <x:f>IF(E487="EOA_CANDIDATE",I487&gt;='Decision Summary'!$B$11,FALSE)</x:f>
        <x:v>0</x:v>
      </x:c>
      <x:c r="N487" s="98" t="str">
        <x:f>IF(M487,"DRAFT INCLUDE","HOLD / EXCLUDE")</x:f>
        <x:v>HOLD / EXCLUDE</x:v>
      </x:c>
      <x:c r="O487" s="101" t="str">
        <x:f>IF(M487,C487,"")</x:f>
      </x:c>
      <x:c r="P487" s="98" t="str">
        <x:f>IF(N487="DRAFT INCLUDE",ROUNDUP(COUNTIF($N$6:N487,"DRAFT INCLUDE")/'Decision Summary'!$B$12,0),"")</x:f>
      </x:c>
      <x:c r="Q487" s="98" t="str">
        <x:f>IF(N487="DRAFT INCLUDE",MOD(COUNTIF($N$6:N487,"DRAFT INCLUDE")-1,'Decision Summary'!$B$12)+1,"")</x:f>
      </x:c>
      <x:c r="R487" s="98" t="str">
        <x:v>PENDING</x:v>
      </x:c>
      <x:c r="S487" s="98" t="str"/>
      <x:c r="T487" s="98" t="str">
        <x:v>Ordinary EOA candidate; inclusion still depends on V1 deprecation, threshold policy and owner approval.</x:v>
      </x:c>
      <x:c r="U487" s="89" t="str">
        <x:v>https://etherscan.io/token/0x445d03f499f1c150615957bb87588fb465fc91cc#balances</x:v>
      </x:c>
      <x:c r="V487" s="89" t="b">
        <x:f>COUNTIF($C$6:$C$502,C487)&gt;1</x:f>
        <x:v>0</x:v>
      </x:c>
    </x:row>
    <x:row r="488">
      <x:c r="A488" s="89" t="n">
        <x:v>483</x:v>
      </x:c>
      <x:c r="B488" s="89" t="str">
        <x:v>v1-mainnet-0483</x:v>
      </x:c>
      <x:c r="C488" s="90" t="str">
        <x:v>0xe214ff62ea6cebfee7920588a1df1a69130c6b23</x:v>
      </x:c>
      <x:c r="D488" s="98" t="str"/>
      <x:c r="E488" s="98" t="str">
        <x:v>EOA_CANDIDATE</x:v>
      </x:c>
      <x:c r="F488" s="91" t="b">
        <x:v>0</x:v>
      </x:c>
      <x:c r="G488" s="89" t="n">
        <x:v>0</x:v>
      </x:c>
      <x:c r="H488" s="90" t="str">
        <x:v>3042200000000</x:v>
      </x:c>
      <x:c r="I488" s="92" t="n">
        <x:v>3.0422</x:v>
      </x:c>
      <x:c r="J488" s="92" t="str">
        <x:v>3042200000000000000</x:v>
      </x:c>
      <x:c r="K488" s="92" t="n">
        <x:v>3.0422</x:v>
      </x:c>
      <x:c r="L488" s="98" t="str">
        <x:v>PENDING_OWNER_ELIGIBILITY_APPROVAL</x:v>
      </x:c>
      <x:c r="M488" s="98" t="b">
        <x:f>IF(E488="EOA_CANDIDATE",I488&gt;='Decision Summary'!$B$11,FALSE)</x:f>
        <x:v>0</x:v>
      </x:c>
      <x:c r="N488" s="98" t="str">
        <x:f>IF(M488,"DRAFT INCLUDE","HOLD / EXCLUDE")</x:f>
        <x:v>HOLD / EXCLUDE</x:v>
      </x:c>
      <x:c r="O488" s="101" t="str">
        <x:f>IF(M488,C488,"")</x:f>
      </x:c>
      <x:c r="P488" s="98" t="str">
        <x:f>IF(N488="DRAFT INCLUDE",ROUNDUP(COUNTIF($N$6:N488,"DRAFT INCLUDE")/'Decision Summary'!$B$12,0),"")</x:f>
      </x:c>
      <x:c r="Q488" s="98" t="str">
        <x:f>IF(N488="DRAFT INCLUDE",MOD(COUNTIF($N$6:N488,"DRAFT INCLUDE")-1,'Decision Summary'!$B$12)+1,"")</x:f>
      </x:c>
      <x:c r="R488" s="98" t="str">
        <x:v>PENDING</x:v>
      </x:c>
      <x:c r="S488" s="98" t="str"/>
      <x:c r="T488" s="98" t="str">
        <x:v>Ordinary EOA candidate; inclusion still depends on V1 deprecation, threshold policy and owner approval.</x:v>
      </x:c>
      <x:c r="U488" s="89" t="str">
        <x:v>https://etherscan.io/token/0x445d03f499f1c150615957bb87588fb465fc91cc#balances</x:v>
      </x:c>
      <x:c r="V488" s="89" t="b">
        <x:f>COUNTIF($C$6:$C$502,C488)&gt;1</x:f>
        <x:v>0</x:v>
      </x:c>
    </x:row>
    <x:row r="489">
      <x:c r="A489" s="89" t="n">
        <x:v>484</x:v>
      </x:c>
      <x:c r="B489" s="89" t="str">
        <x:v>v1-mainnet-0484</x:v>
      </x:c>
      <x:c r="C489" s="90" t="str">
        <x:v>0x11a78fab481844b106f2258796e52f13eef957bb</x:v>
      </x:c>
      <x:c r="D489" s="98" t="str"/>
      <x:c r="E489" s="98" t="str">
        <x:v>EOA_CANDIDATE</x:v>
      </x:c>
      <x:c r="F489" s="91" t="b">
        <x:v>0</x:v>
      </x:c>
      <x:c r="G489" s="89" t="n">
        <x:v>0</x:v>
      </x:c>
      <x:c r="H489" s="90" t="str">
        <x:v>3039800000000</x:v>
      </x:c>
      <x:c r="I489" s="92" t="n">
        <x:v>3.0398</x:v>
      </x:c>
      <x:c r="J489" s="92" t="str">
        <x:v>3039800000000000000</x:v>
      </x:c>
      <x:c r="K489" s="92" t="n">
        <x:v>3.0398</x:v>
      </x:c>
      <x:c r="L489" s="98" t="str">
        <x:v>PENDING_OWNER_ELIGIBILITY_APPROVAL</x:v>
      </x:c>
      <x:c r="M489" s="98" t="b">
        <x:f>IF(E489="EOA_CANDIDATE",I489&gt;='Decision Summary'!$B$11,FALSE)</x:f>
        <x:v>0</x:v>
      </x:c>
      <x:c r="N489" s="98" t="str">
        <x:f>IF(M489,"DRAFT INCLUDE","HOLD / EXCLUDE")</x:f>
        <x:v>HOLD / EXCLUDE</x:v>
      </x:c>
      <x:c r="O489" s="101" t="str">
        <x:f>IF(M489,C489,"")</x:f>
      </x:c>
      <x:c r="P489" s="98" t="str">
        <x:f>IF(N489="DRAFT INCLUDE",ROUNDUP(COUNTIF($N$6:N489,"DRAFT INCLUDE")/'Decision Summary'!$B$12,0),"")</x:f>
      </x:c>
      <x:c r="Q489" s="98" t="str">
        <x:f>IF(N489="DRAFT INCLUDE",MOD(COUNTIF($N$6:N489,"DRAFT INCLUDE")-1,'Decision Summary'!$B$12)+1,"")</x:f>
      </x:c>
      <x:c r="R489" s="98" t="str">
        <x:v>PENDING</x:v>
      </x:c>
      <x:c r="S489" s="98" t="str"/>
      <x:c r="T489" s="98" t="str">
        <x:v>Ordinary EOA candidate; inclusion still depends on V1 deprecation, threshold policy and owner approval.</x:v>
      </x:c>
      <x:c r="U489" s="89" t="str">
        <x:v>https://etherscan.io/token/0x445d03f499f1c150615957bb87588fb465fc91cc#balances</x:v>
      </x:c>
      <x:c r="V489" s="89" t="b">
        <x:f>COUNTIF($C$6:$C$502,C489)&gt;1</x:f>
        <x:v>0</x:v>
      </x:c>
    </x:row>
    <x:row r="490">
      <x:c r="A490" s="89" t="n">
        <x:v>485</x:v>
      </x:c>
      <x:c r="B490" s="89" t="str">
        <x:v>v1-mainnet-0485</x:v>
      </x:c>
      <x:c r="C490" s="90" t="str">
        <x:v>0x62162e8a4abd4f67c96062deb09f1d90276b0f99</x:v>
      </x:c>
      <x:c r="D490" s="98" t="str"/>
      <x:c r="E490" s="98" t="str">
        <x:v>EOA_CANDIDATE</x:v>
      </x:c>
      <x:c r="F490" s="91" t="b">
        <x:v>0</x:v>
      </x:c>
      <x:c r="G490" s="89" t="n">
        <x:v>0</x:v>
      </x:c>
      <x:c r="H490" s="90" t="str">
        <x:v>3031400000000</x:v>
      </x:c>
      <x:c r="I490" s="92" t="n">
        <x:v>3.0314</x:v>
      </x:c>
      <x:c r="J490" s="92" t="str">
        <x:v>3031400000000000000</x:v>
      </x:c>
      <x:c r="K490" s="92" t="n">
        <x:v>3.0314</x:v>
      </x:c>
      <x:c r="L490" s="98" t="str">
        <x:v>PENDING_OWNER_ELIGIBILITY_APPROVAL</x:v>
      </x:c>
      <x:c r="M490" s="98" t="b">
        <x:f>IF(E490="EOA_CANDIDATE",I490&gt;='Decision Summary'!$B$11,FALSE)</x:f>
        <x:v>0</x:v>
      </x:c>
      <x:c r="N490" s="98" t="str">
        <x:f>IF(M490,"DRAFT INCLUDE","HOLD / EXCLUDE")</x:f>
        <x:v>HOLD / EXCLUDE</x:v>
      </x:c>
      <x:c r="O490" s="101" t="str">
        <x:f>IF(M490,C490,"")</x:f>
      </x:c>
      <x:c r="P490" s="98" t="str">
        <x:f>IF(N490="DRAFT INCLUDE",ROUNDUP(COUNTIF($N$6:N490,"DRAFT INCLUDE")/'Decision Summary'!$B$12,0),"")</x:f>
      </x:c>
      <x:c r="Q490" s="98" t="str">
        <x:f>IF(N490="DRAFT INCLUDE",MOD(COUNTIF($N$6:N490,"DRAFT INCLUDE")-1,'Decision Summary'!$B$12)+1,"")</x:f>
      </x:c>
      <x:c r="R490" s="98" t="str">
        <x:v>PENDING</x:v>
      </x:c>
      <x:c r="S490" s="98" t="str"/>
      <x:c r="T490" s="98" t="str">
        <x:v>Ordinary EOA candidate; inclusion still depends on V1 deprecation, threshold policy and owner approval.</x:v>
      </x:c>
      <x:c r="U490" s="89" t="str">
        <x:v>https://etherscan.io/token/0x445d03f499f1c150615957bb87588fb465fc91cc#balances</x:v>
      </x:c>
      <x:c r="V490" s="89" t="b">
        <x:f>COUNTIF($C$6:$C$502,C490)&gt;1</x:f>
        <x:v>0</x:v>
      </x:c>
    </x:row>
    <x:row r="491">
      <x:c r="A491" s="89" t="n">
        <x:v>486</x:v>
      </x:c>
      <x:c r="B491" s="89" t="str">
        <x:v>v1-mainnet-0486</x:v>
      </x:c>
      <x:c r="C491" s="90" t="str">
        <x:v>0x119b3e4d9e562a567048973265733886209b73de</x:v>
      </x:c>
      <x:c r="D491" s="98" t="str"/>
      <x:c r="E491" s="98" t="str">
        <x:v>EOA_CANDIDATE</x:v>
      </x:c>
      <x:c r="F491" s="91" t="b">
        <x:v>0</x:v>
      </x:c>
      <x:c r="G491" s="89" t="n">
        <x:v>0</x:v>
      </x:c>
      <x:c r="H491" s="90" t="str">
        <x:v>3024200000000</x:v>
      </x:c>
      <x:c r="I491" s="92" t="n">
        <x:v>3.0242</x:v>
      </x:c>
      <x:c r="J491" s="92" t="str">
        <x:v>3024200000000000000</x:v>
      </x:c>
      <x:c r="K491" s="92" t="n">
        <x:v>3.0242</x:v>
      </x:c>
      <x:c r="L491" s="98" t="str">
        <x:v>PENDING_OWNER_ELIGIBILITY_APPROVAL</x:v>
      </x:c>
      <x:c r="M491" s="98" t="b">
        <x:f>IF(E491="EOA_CANDIDATE",I491&gt;='Decision Summary'!$B$11,FALSE)</x:f>
        <x:v>0</x:v>
      </x:c>
      <x:c r="N491" s="98" t="str">
        <x:f>IF(M491,"DRAFT INCLUDE","HOLD / EXCLUDE")</x:f>
        <x:v>HOLD / EXCLUDE</x:v>
      </x:c>
      <x:c r="O491" s="101" t="str">
        <x:f>IF(M491,C491,"")</x:f>
      </x:c>
      <x:c r="P491" s="98" t="str">
        <x:f>IF(N491="DRAFT INCLUDE",ROUNDUP(COUNTIF($N$6:N491,"DRAFT INCLUDE")/'Decision Summary'!$B$12,0),"")</x:f>
      </x:c>
      <x:c r="Q491" s="98" t="str">
        <x:f>IF(N491="DRAFT INCLUDE",MOD(COUNTIF($N$6:N491,"DRAFT INCLUDE")-1,'Decision Summary'!$B$12)+1,"")</x:f>
      </x:c>
      <x:c r="R491" s="98" t="str">
        <x:v>PENDING</x:v>
      </x:c>
      <x:c r="S491" s="98" t="str"/>
      <x:c r="T491" s="98" t="str">
        <x:v>Ordinary EOA candidate; inclusion still depends on V1 deprecation, threshold policy and owner approval.</x:v>
      </x:c>
      <x:c r="U491" s="89" t="str">
        <x:v>https://etherscan.io/token/0x445d03f499f1c150615957bb87588fb465fc91cc#balances</x:v>
      </x:c>
      <x:c r="V491" s="89" t="b">
        <x:f>COUNTIF($C$6:$C$502,C491)&gt;1</x:f>
        <x:v>0</x:v>
      </x:c>
    </x:row>
    <x:row r="492">
      <x:c r="A492" s="89" t="n">
        <x:v>487</x:v>
      </x:c>
      <x:c r="B492" s="89" t="str">
        <x:v>v1-mainnet-0487</x:v>
      </x:c>
      <x:c r="C492" s="90" t="str">
        <x:v>0x2da5e54ac1fad54ff9f99f068ae35b82d785277e</x:v>
      </x:c>
      <x:c r="D492" s="98" t="str"/>
      <x:c r="E492" s="98" t="str">
        <x:v>EOA_CANDIDATE</x:v>
      </x:c>
      <x:c r="F492" s="91" t="b">
        <x:v>0</x:v>
      </x:c>
      <x:c r="G492" s="89" t="n">
        <x:v>0</x:v>
      </x:c>
      <x:c r="H492" s="90" t="str">
        <x:v>1653340375251</x:v>
      </x:c>
      <x:c r="I492" s="92" t="n">
        <x:v>1.653340375251</x:v>
      </x:c>
      <x:c r="J492" s="92" t="str">
        <x:v>1653340375251000000</x:v>
      </x:c>
      <x:c r="K492" s="92" t="n">
        <x:v>1.653340375251</x:v>
      </x:c>
      <x:c r="L492" s="98" t="str">
        <x:v>PENDING_OWNER_ELIGIBILITY_APPROVAL</x:v>
      </x:c>
      <x:c r="M492" s="98" t="b">
        <x:f>IF(E492="EOA_CANDIDATE",I492&gt;='Decision Summary'!$B$11,FALSE)</x:f>
        <x:v>0</x:v>
      </x:c>
      <x:c r="N492" s="98" t="str">
        <x:f>IF(M492,"DRAFT INCLUDE","HOLD / EXCLUDE")</x:f>
        <x:v>HOLD / EXCLUDE</x:v>
      </x:c>
      <x:c r="O492" s="101" t="str">
        <x:f>IF(M492,C492,"")</x:f>
      </x:c>
      <x:c r="P492" s="98" t="str">
        <x:f>IF(N492="DRAFT INCLUDE",ROUNDUP(COUNTIF($N$6:N492,"DRAFT INCLUDE")/'Decision Summary'!$B$12,0),"")</x:f>
      </x:c>
      <x:c r="Q492" s="98" t="str">
        <x:f>IF(N492="DRAFT INCLUDE",MOD(COUNTIF($N$6:N492,"DRAFT INCLUDE")-1,'Decision Summary'!$B$12)+1,"")</x:f>
      </x:c>
      <x:c r="R492" s="98" t="str">
        <x:v>PENDING</x:v>
      </x:c>
      <x:c r="S492" s="98" t="str"/>
      <x:c r="T492" s="98" t="str">
        <x:v>Ordinary EOA candidate; inclusion still depends on V1 deprecation, threshold policy and owner approval.</x:v>
      </x:c>
      <x:c r="U492" s="89" t="str">
        <x:v>https://etherscan.io/token/0x445d03f499f1c150615957bb87588fb465fc91cc#balances</x:v>
      </x:c>
      <x:c r="V492" s="89" t="b">
        <x:f>COUNTIF($C$6:$C$502,C492)&gt;1</x:f>
        <x:v>0</x:v>
      </x:c>
    </x:row>
    <x:row r="493">
      <x:c r="A493" s="89" t="n">
        <x:v>488</x:v>
      </x:c>
      <x:c r="B493" s="89" t="str">
        <x:v>v1-mainnet-0488</x:v>
      </x:c>
      <x:c r="C493" s="90" t="str">
        <x:v>0xa54dc4425190570cb5c841adf445bbecf3b249f5</x:v>
      </x:c>
      <x:c r="D493" s="98" t="str"/>
      <x:c r="E493" s="98" t="str">
        <x:v>EOA_CANDIDATE</x:v>
      </x:c>
      <x:c r="F493" s="91" t="b">
        <x:v>0</x:v>
      </x:c>
      <x:c r="G493" s="89" t="n">
        <x:v>0</x:v>
      </x:c>
      <x:c r="H493" s="90" t="str">
        <x:v>1436797673932</x:v>
      </x:c>
      <x:c r="I493" s="92" t="n">
        <x:v>1.436797673932</x:v>
      </x:c>
      <x:c r="J493" s="92" t="str">
        <x:v>1436797673932000000</x:v>
      </x:c>
      <x:c r="K493" s="92" t="n">
        <x:v>1.436797673932</x:v>
      </x:c>
      <x:c r="L493" s="98" t="str">
        <x:v>PENDING_OWNER_ELIGIBILITY_APPROVAL</x:v>
      </x:c>
      <x:c r="M493" s="98" t="b">
        <x:f>IF(E493="EOA_CANDIDATE",I493&gt;='Decision Summary'!$B$11,FALSE)</x:f>
        <x:v>0</x:v>
      </x:c>
      <x:c r="N493" s="98" t="str">
        <x:f>IF(M493,"DRAFT INCLUDE","HOLD / EXCLUDE")</x:f>
        <x:v>HOLD / EXCLUDE</x:v>
      </x:c>
      <x:c r="O493" s="101" t="str">
        <x:f>IF(M493,C493,"")</x:f>
      </x:c>
      <x:c r="P493" s="98" t="str">
        <x:f>IF(N493="DRAFT INCLUDE",ROUNDUP(COUNTIF($N$6:N493,"DRAFT INCLUDE")/'Decision Summary'!$B$12,0),"")</x:f>
      </x:c>
      <x:c r="Q493" s="98" t="str">
        <x:f>IF(N493="DRAFT INCLUDE",MOD(COUNTIF($N$6:N493,"DRAFT INCLUDE")-1,'Decision Summary'!$B$12)+1,"")</x:f>
      </x:c>
      <x:c r="R493" s="98" t="str">
        <x:v>PENDING</x:v>
      </x:c>
      <x:c r="S493" s="98" t="str"/>
      <x:c r="T493" s="98" t="str">
        <x:v>Ordinary EOA candidate; inclusion still depends on V1 deprecation, threshold policy and owner approval.</x:v>
      </x:c>
      <x:c r="U493" s="89" t="str">
        <x:v>https://etherscan.io/token/0x445d03f499f1c150615957bb87588fb465fc91cc#balances</x:v>
      </x:c>
      <x:c r="V493" s="89" t="b">
        <x:f>COUNTIF($C$6:$C$502,C493)&gt;1</x:f>
        <x:v>0</x:v>
      </x:c>
    </x:row>
    <x:row r="494">
      <x:c r="A494" s="89" t="n">
        <x:v>489</x:v>
      </x:c>
      <x:c r="B494" s="89" t="str">
        <x:v>v1-mainnet-0489</x:v>
      </x:c>
      <x:c r="C494" s="90" t="str">
        <x:v>0x2ee853b1cfdfb79c8cb2502a404ddda8b733c401</x:v>
      </x:c>
      <x:c r="D494" s="98" t="str"/>
      <x:c r="E494" s="98" t="str">
        <x:v>EOA_CANDIDATE</x:v>
      </x:c>
      <x:c r="F494" s="91" t="b">
        <x:v>0</x:v>
      </x:c>
      <x:c r="G494" s="89" t="n">
        <x:v>0</x:v>
      </x:c>
      <x:c r="H494" s="90" t="str">
        <x:v>787000000000</x:v>
      </x:c>
      <x:c r="I494" s="92" t="n">
        <x:v>0.787</x:v>
      </x:c>
      <x:c r="J494" s="92" t="str">
        <x:v>787000000000000000</x:v>
      </x:c>
      <x:c r="K494" s="92" t="n">
        <x:v>0.787</x:v>
      </x:c>
      <x:c r="L494" s="98" t="str">
        <x:v>PENDING_OWNER_ELIGIBILITY_APPROVAL</x:v>
      </x:c>
      <x:c r="M494" s="98" t="b">
        <x:f>IF(E494="EOA_CANDIDATE",I494&gt;='Decision Summary'!$B$11,FALSE)</x:f>
        <x:v>0</x:v>
      </x:c>
      <x:c r="N494" s="98" t="str">
        <x:f>IF(M494,"DRAFT INCLUDE","HOLD / EXCLUDE")</x:f>
        <x:v>HOLD / EXCLUDE</x:v>
      </x:c>
      <x:c r="O494" s="101" t="str">
        <x:f>IF(M494,C494,"")</x:f>
      </x:c>
      <x:c r="P494" s="98" t="str">
        <x:f>IF(N494="DRAFT INCLUDE",ROUNDUP(COUNTIF($N$6:N494,"DRAFT INCLUDE")/'Decision Summary'!$B$12,0),"")</x:f>
      </x:c>
      <x:c r="Q494" s="98" t="str">
        <x:f>IF(N494="DRAFT INCLUDE",MOD(COUNTIF($N$6:N494,"DRAFT INCLUDE")-1,'Decision Summary'!$B$12)+1,"")</x:f>
      </x:c>
      <x:c r="R494" s="98" t="str">
        <x:v>PENDING</x:v>
      </x:c>
      <x:c r="S494" s="98" t="str"/>
      <x:c r="T494" s="98" t="str">
        <x:v>Ordinary EOA candidate; inclusion still depends on V1 deprecation, threshold policy and owner approval.</x:v>
      </x:c>
      <x:c r="U494" s="89" t="str">
        <x:v>https://etherscan.io/token/0x445d03f499f1c150615957bb87588fb465fc91cc#balances</x:v>
      </x:c>
      <x:c r="V494" s="89" t="b">
        <x:f>COUNTIF($C$6:$C$502,C494)&gt;1</x:f>
        <x:v>0</x:v>
      </x:c>
    </x:row>
    <x:row r="495">
      <x:c r="A495" s="89" t="n">
        <x:v>490</x:v>
      </x:c>
      <x:c r="B495" s="89" t="str">
        <x:v>v1-mainnet-0490</x:v>
      </x:c>
      <x:c r="C495" s="90" t="str">
        <x:v>0x64b4b0c1537015b98c89566dc0fd24e0975b701f</x:v>
      </x:c>
      <x:c r="D495" s="98" t="str"/>
      <x:c r="E495" s="98" t="str">
        <x:v>EIP7702_DELEGATED_ACCOUNT</x:v>
      </x:c>
      <x:c r="F495" s="91" t="b">
        <x:v>1</x:v>
      </x:c>
      <x:c r="G495" s="89" t="n">
        <x:v>23</x:v>
      </x:c>
      <x:c r="H495" s="90" t="str">
        <x:v>199146808013</x:v>
      </x:c>
      <x:c r="I495" s="92" t="n">
        <x:v>0.199146808013</x:v>
      </x:c>
      <x:c r="J495" s="92" t="str">
        <x:v>199146808013000000</x:v>
      </x:c>
      <x:c r="K495" s="92" t="n">
        <x:v>0.199146808013</x:v>
      </x:c>
      <x:c r="L495" s="98" t="str">
        <x:v>HOLD_ACCOUNT_CONTROL_REVIEW</x:v>
      </x:c>
      <x:c r="M495" s="98" t="b">
        <x:f>IF(E495="EOA_CANDIDATE",I495&gt;='Decision Summary'!$B$11,FALSE)</x:f>
        <x:v>0</x:v>
      </x:c>
      <x:c r="N495" s="98" t="str">
        <x:f>IF(M495,"DRAFT INCLUDE","HOLD / EXCLUDE")</x:f>
        <x:v>HOLD / EXCLUDE</x:v>
      </x:c>
      <x:c r="O495" s="101" t="str">
        <x:f>IF(M495,C495,"")</x:f>
      </x:c>
      <x:c r="P495" s="98" t="str">
        <x:f>IF(N495="DRAFT INCLUDE",ROUNDUP(COUNTIF($N$6:N495,"DRAFT INCLUDE")/'Decision Summary'!$B$12,0),"")</x:f>
      </x:c>
      <x:c r="Q495" s="98" t="str">
        <x:f>IF(N495="DRAFT INCLUDE",MOD(COUNTIF($N$6:N495,"DRAFT INCLUDE")-1,'Decision Summary'!$B$12)+1,"")</x:f>
      </x:c>
      <x:c r="R495" s="98" t="str">
        <x:v>PENDING</x:v>
      </x:c>
      <x:c r="S495" s="98" t="str"/>
      <x:c r="T495" s="98" t="str">
        <x:v>23-byte delegated account code requires control and destination review before inclusion.</x:v>
      </x:c>
      <x:c r="U495" s="89" t="str">
        <x:v>https://etherscan.io/token/0x445d03f499f1c150615957bb87588fb465fc91cc#balances</x:v>
      </x:c>
      <x:c r="V495" s="89" t="b">
        <x:f>COUNTIF($C$6:$C$502,C495)&gt;1</x:f>
        <x:v>0</x:v>
      </x:c>
    </x:row>
    <x:row r="496">
      <x:c r="A496" s="89" t="n">
        <x:v>491</x:v>
      </x:c>
      <x:c r="B496" s="89" t="str">
        <x:v>v1-mainnet-0491</x:v>
      </x:c>
      <x:c r="C496" s="90" t="str">
        <x:v>0x5b85821d347872dd0421e14ec4714fe6c3639ede</x:v>
      </x:c>
      <x:c r="D496" s="98" t="str"/>
      <x:c r="E496" s="98" t="str">
        <x:v>EIP7702_DELEGATED_ACCOUNT</x:v>
      </x:c>
      <x:c r="F496" s="91" t="b">
        <x:v>1</x:v>
      </x:c>
      <x:c r="G496" s="89" t="n">
        <x:v>23</x:v>
      </x:c>
      <x:c r="H496" s="90" t="str">
        <x:v>121450760135</x:v>
      </x:c>
      <x:c r="I496" s="92" t="n">
        <x:v>0.121450760135</x:v>
      </x:c>
      <x:c r="J496" s="92" t="str">
        <x:v>121450760135000000</x:v>
      </x:c>
      <x:c r="K496" s="92" t="n">
        <x:v>0.121450760135</x:v>
      </x:c>
      <x:c r="L496" s="98" t="str">
        <x:v>HOLD_ACCOUNT_CONTROL_REVIEW</x:v>
      </x:c>
      <x:c r="M496" s="98" t="b">
        <x:f>IF(E496="EOA_CANDIDATE",I496&gt;='Decision Summary'!$B$11,FALSE)</x:f>
        <x:v>0</x:v>
      </x:c>
      <x:c r="N496" s="98" t="str">
        <x:f>IF(M496,"DRAFT INCLUDE","HOLD / EXCLUDE")</x:f>
        <x:v>HOLD / EXCLUDE</x:v>
      </x:c>
      <x:c r="O496" s="101" t="str">
        <x:f>IF(M496,C496,"")</x:f>
      </x:c>
      <x:c r="P496" s="98" t="str">
        <x:f>IF(N496="DRAFT INCLUDE",ROUNDUP(COUNTIF($N$6:N496,"DRAFT INCLUDE")/'Decision Summary'!$B$12,0),"")</x:f>
      </x:c>
      <x:c r="Q496" s="98" t="str">
        <x:f>IF(N496="DRAFT INCLUDE",MOD(COUNTIF($N$6:N496,"DRAFT INCLUDE")-1,'Decision Summary'!$B$12)+1,"")</x:f>
      </x:c>
      <x:c r="R496" s="98" t="str">
        <x:v>PENDING</x:v>
      </x:c>
      <x:c r="S496" s="98" t="str"/>
      <x:c r="T496" s="98" t="str">
        <x:v>23-byte delegated account code requires control and destination review before inclusion.</x:v>
      </x:c>
      <x:c r="U496" s="89" t="str">
        <x:v>https://etherscan.io/token/0x445d03f499f1c150615957bb87588fb465fc91cc#balances</x:v>
      </x:c>
      <x:c r="V496" s="89" t="b">
        <x:f>COUNTIF($C$6:$C$502,C496)&gt;1</x:f>
        <x:v>0</x:v>
      </x:c>
    </x:row>
    <x:row r="497">
      <x:c r="A497" s="89" t="n">
        <x:v>492</x:v>
      </x:c>
      <x:c r="B497" s="89" t="str">
        <x:v>v1-mainnet-0492</x:v>
      </x:c>
      <x:c r="C497" s="90" t="str">
        <x:v>0xc059ffbc18a83a917898b64f3819b1c72fb16cb4</x:v>
      </x:c>
      <x:c r="D497" s="98" t="str"/>
      <x:c r="E497" s="98" t="str">
        <x:v>EIP7702_DELEGATED_ACCOUNT</x:v>
      </x:c>
      <x:c r="F497" s="91" t="b">
        <x:v>1</x:v>
      </x:c>
      <x:c r="G497" s="89" t="n">
        <x:v>23</x:v>
      </x:c>
      <x:c r="H497" s="90" t="str">
        <x:v>67425190236</x:v>
      </x:c>
      <x:c r="I497" s="92" t="n">
        <x:v>0.067425190236</x:v>
      </x:c>
      <x:c r="J497" s="92" t="str">
        <x:v>67425190236000000</x:v>
      </x:c>
      <x:c r="K497" s="92" t="n">
        <x:v>0.067425190236</x:v>
      </x:c>
      <x:c r="L497" s="98" t="str">
        <x:v>HOLD_ACCOUNT_CONTROL_REVIEW</x:v>
      </x:c>
      <x:c r="M497" s="98" t="b">
        <x:f>IF(E497="EOA_CANDIDATE",I497&gt;='Decision Summary'!$B$11,FALSE)</x:f>
        <x:v>0</x:v>
      </x:c>
      <x:c r="N497" s="98" t="str">
        <x:f>IF(M497,"DRAFT INCLUDE","HOLD / EXCLUDE")</x:f>
        <x:v>HOLD / EXCLUDE</x:v>
      </x:c>
      <x:c r="O497" s="101" t="str">
        <x:f>IF(M497,C497,"")</x:f>
      </x:c>
      <x:c r="P497" s="98" t="str">
        <x:f>IF(N497="DRAFT INCLUDE",ROUNDUP(COUNTIF($N$6:N497,"DRAFT INCLUDE")/'Decision Summary'!$B$12,0),"")</x:f>
      </x:c>
      <x:c r="Q497" s="98" t="str">
        <x:f>IF(N497="DRAFT INCLUDE",MOD(COUNTIF($N$6:N497,"DRAFT INCLUDE")-1,'Decision Summary'!$B$12)+1,"")</x:f>
      </x:c>
      <x:c r="R497" s="98" t="str">
        <x:v>PENDING</x:v>
      </x:c>
      <x:c r="S497" s="98" t="str"/>
      <x:c r="T497" s="98" t="str">
        <x:v>23-byte delegated account code requires control and destination review before inclusion.</x:v>
      </x:c>
      <x:c r="U497" s="89" t="str">
        <x:v>https://etherscan.io/token/0x445d03f499f1c150615957bb87588fb465fc91cc#balances</x:v>
      </x:c>
      <x:c r="V497" s="89" t="b">
        <x:f>COUNTIF($C$6:$C$502,C497)&gt;1</x:f>
        <x:v>0</x:v>
      </x:c>
    </x:row>
    <x:row r="498">
      <x:c r="A498" s="89" t="n">
        <x:v>493</x:v>
      </x:c>
      <x:c r="B498" s="89" t="str">
        <x:v>v1-mainnet-0493</x:v>
      </x:c>
      <x:c r="C498" s="90" t="str">
        <x:v>0xcd6b980029e6e6e0733ac8ec3e02be9410d09799</x:v>
      </x:c>
      <x:c r="D498" s="98" t="str"/>
      <x:c r="E498" s="98" t="str">
        <x:v>EOA_CANDIDATE</x:v>
      </x:c>
      <x:c r="F498" s="91" t="b">
        <x:v>0</x:v>
      </x:c>
      <x:c r="G498" s="89" t="n">
        <x:v>0</x:v>
      </x:c>
      <x:c r="H498" s="90" t="str">
        <x:v>41516593264</x:v>
      </x:c>
      <x:c r="I498" s="92" t="n">
        <x:v>0.041516593264</x:v>
      </x:c>
      <x:c r="J498" s="92" t="str">
        <x:v>41516593264000000</x:v>
      </x:c>
      <x:c r="K498" s="92" t="n">
        <x:v>0.041516593264</x:v>
      </x:c>
      <x:c r="L498" s="98" t="str">
        <x:v>PENDING_OWNER_ELIGIBILITY_APPROVAL</x:v>
      </x:c>
      <x:c r="M498" s="98" t="b">
        <x:f>IF(E498="EOA_CANDIDATE",I498&gt;='Decision Summary'!$B$11,FALSE)</x:f>
        <x:v>0</x:v>
      </x:c>
      <x:c r="N498" s="98" t="str">
        <x:f>IF(M498,"DRAFT INCLUDE","HOLD / EXCLUDE")</x:f>
        <x:v>HOLD / EXCLUDE</x:v>
      </x:c>
      <x:c r="O498" s="101" t="str">
        <x:f>IF(M498,C498,"")</x:f>
      </x:c>
      <x:c r="P498" s="98" t="str">
        <x:f>IF(N498="DRAFT INCLUDE",ROUNDUP(COUNTIF($N$6:N498,"DRAFT INCLUDE")/'Decision Summary'!$B$12,0),"")</x:f>
      </x:c>
      <x:c r="Q498" s="98" t="str">
        <x:f>IF(N498="DRAFT INCLUDE",MOD(COUNTIF($N$6:N498,"DRAFT INCLUDE")-1,'Decision Summary'!$B$12)+1,"")</x:f>
      </x:c>
      <x:c r="R498" s="98" t="str">
        <x:v>PENDING</x:v>
      </x:c>
      <x:c r="S498" s="98" t="str"/>
      <x:c r="T498" s="98" t="str">
        <x:v>Ordinary EOA candidate; inclusion still depends on V1 deprecation, threshold policy and owner approval.</x:v>
      </x:c>
      <x:c r="U498" s="89" t="str">
        <x:v>https://etherscan.io/token/0x445d03f499f1c150615957bb87588fb465fc91cc#balances</x:v>
      </x:c>
      <x:c r="V498" s="89" t="b">
        <x:f>COUNTIF($C$6:$C$502,C498)&gt;1</x:f>
        <x:v>0</x:v>
      </x:c>
    </x:row>
    <x:row r="499">
      <x:c r="A499" s="89" t="n">
        <x:v>494</x:v>
      </x:c>
      <x:c r="B499" s="89" t="str">
        <x:v>v1-mainnet-0494</x:v>
      </x:c>
      <x:c r="C499" s="90" t="str">
        <x:v>0xf5c4f3dc02c3fb9279495a8fef7b0741da956157</x:v>
      </x:c>
      <x:c r="D499" s="98" t="str"/>
      <x:c r="E499" s="98" t="str">
        <x:v>EOA_CANDIDATE</x:v>
      </x:c>
      <x:c r="F499" s="91" t="b">
        <x:v>0</x:v>
      </x:c>
      <x:c r="G499" s="89" t="n">
        <x:v>0</x:v>
      </x:c>
      <x:c r="H499" s="90" t="str">
        <x:v>38185849222</x:v>
      </x:c>
      <x:c r="I499" s="92" t="n">
        <x:v>0.038185849222</x:v>
      </x:c>
      <x:c r="J499" s="92" t="str">
        <x:v>38185849222000000</x:v>
      </x:c>
      <x:c r="K499" s="92" t="n">
        <x:v>0.038185849222</x:v>
      </x:c>
      <x:c r="L499" s="98" t="str">
        <x:v>PENDING_OWNER_ELIGIBILITY_APPROVAL</x:v>
      </x:c>
      <x:c r="M499" s="98" t="b">
        <x:f>IF(E499="EOA_CANDIDATE",I499&gt;='Decision Summary'!$B$11,FALSE)</x:f>
        <x:v>0</x:v>
      </x:c>
      <x:c r="N499" s="98" t="str">
        <x:f>IF(M499,"DRAFT INCLUDE","HOLD / EXCLUDE")</x:f>
        <x:v>HOLD / EXCLUDE</x:v>
      </x:c>
      <x:c r="O499" s="101" t="str">
        <x:f>IF(M499,C499,"")</x:f>
      </x:c>
      <x:c r="P499" s="98" t="str">
        <x:f>IF(N499="DRAFT INCLUDE",ROUNDUP(COUNTIF($N$6:N499,"DRAFT INCLUDE")/'Decision Summary'!$B$12,0),"")</x:f>
      </x:c>
      <x:c r="Q499" s="98" t="str">
        <x:f>IF(N499="DRAFT INCLUDE",MOD(COUNTIF($N$6:N499,"DRAFT INCLUDE")-1,'Decision Summary'!$B$12)+1,"")</x:f>
      </x:c>
      <x:c r="R499" s="98" t="str">
        <x:v>PENDING</x:v>
      </x:c>
      <x:c r="S499" s="98" t="str"/>
      <x:c r="T499" s="98" t="str">
        <x:v>Ordinary EOA candidate; inclusion still depends on V1 deprecation, threshold policy and owner approval.</x:v>
      </x:c>
      <x:c r="U499" s="89" t="str">
        <x:v>https://etherscan.io/token/0x445d03f499f1c150615957bb87588fb465fc91cc#balances</x:v>
      </x:c>
      <x:c r="V499" s="89" t="b">
        <x:f>COUNTIF($C$6:$C$502,C499)&gt;1</x:f>
        <x:v>0</x:v>
      </x:c>
    </x:row>
    <x:row r="500">
      <x:c r="A500" s="89" t="n">
        <x:v>495</x:v>
      </x:c>
      <x:c r="B500" s="89" t="str">
        <x:v>v1-mainnet-0495</x:v>
      </x:c>
      <x:c r="C500" s="90" t="str">
        <x:v>0x4f82e73edb06d29ff62c91ec8f5ff06571bdeb29</x:v>
      </x:c>
      <x:c r="D500" s="98" t="str"/>
      <x:c r="E500" s="98" t="str">
        <x:v>EIP7702_DELEGATED_ACCOUNT</x:v>
      </x:c>
      <x:c r="F500" s="91" t="b">
        <x:v>1</x:v>
      </x:c>
      <x:c r="G500" s="89" t="n">
        <x:v>23</x:v>
      </x:c>
      <x:c r="H500" s="90" t="str">
        <x:v>29189745675</x:v>
      </x:c>
      <x:c r="I500" s="92" t="n">
        <x:v>0.029189745675</x:v>
      </x:c>
      <x:c r="J500" s="92" t="str">
        <x:v>29189745675000000</x:v>
      </x:c>
      <x:c r="K500" s="92" t="n">
        <x:v>0.029189745675</x:v>
      </x:c>
      <x:c r="L500" s="98" t="str">
        <x:v>HOLD_ACCOUNT_CONTROL_REVIEW</x:v>
      </x:c>
      <x:c r="M500" s="98" t="b">
        <x:f>IF(E500="EOA_CANDIDATE",I500&gt;='Decision Summary'!$B$11,FALSE)</x:f>
        <x:v>0</x:v>
      </x:c>
      <x:c r="N500" s="98" t="str">
        <x:f>IF(M500,"DRAFT INCLUDE","HOLD / EXCLUDE")</x:f>
        <x:v>HOLD / EXCLUDE</x:v>
      </x:c>
      <x:c r="O500" s="101" t="str">
        <x:f>IF(M500,C500,"")</x:f>
      </x:c>
      <x:c r="P500" s="98" t="str">
        <x:f>IF(N500="DRAFT INCLUDE",ROUNDUP(COUNTIF($N$6:N500,"DRAFT INCLUDE")/'Decision Summary'!$B$12,0),"")</x:f>
      </x:c>
      <x:c r="Q500" s="98" t="str">
        <x:f>IF(N500="DRAFT INCLUDE",MOD(COUNTIF($N$6:N500,"DRAFT INCLUDE")-1,'Decision Summary'!$B$12)+1,"")</x:f>
      </x:c>
      <x:c r="R500" s="98" t="str">
        <x:v>PENDING</x:v>
      </x:c>
      <x:c r="S500" s="98" t="str"/>
      <x:c r="T500" s="98" t="str">
        <x:v>23-byte delegated account code requires control and destination review before inclusion.</x:v>
      </x:c>
      <x:c r="U500" s="89" t="str">
        <x:v>https://etherscan.io/token/0x445d03f499f1c150615957bb87588fb465fc91cc#balances</x:v>
      </x:c>
      <x:c r="V500" s="89" t="b">
        <x:f>COUNTIF($C$6:$C$502,C500)&gt;1</x:f>
        <x:v>0</x:v>
      </x:c>
    </x:row>
    <x:row r="501">
      <x:c r="A501" s="89" t="n">
        <x:v>496</x:v>
      </x:c>
      <x:c r="B501" s="89" t="str">
        <x:v>v1-mainnet-0496</x:v>
      </x:c>
      <x:c r="C501" s="90" t="str">
        <x:v>0x345a0e3c5d2cc686e36d2f94e8fa8914f60d3b6a</x:v>
      </x:c>
      <x:c r="D501" s="98" t="str"/>
      <x:c r="E501" s="98" t="str">
        <x:v>EOA_CANDIDATE</x:v>
      </x:c>
      <x:c r="F501" s="91" t="b">
        <x:v>0</x:v>
      </x:c>
      <x:c r="G501" s="89" t="n">
        <x:v>0</x:v>
      </x:c>
      <x:c r="H501" s="90" t="str">
        <x:v>1000000</x:v>
      </x:c>
      <x:c r="I501" s="92" t="n">
        <x:v>0.000001</x:v>
      </x:c>
      <x:c r="J501" s="92" t="str">
        <x:v>1000000000000</x:v>
      </x:c>
      <x:c r="K501" s="92" t="n">
        <x:v>0.000001</x:v>
      </x:c>
      <x:c r="L501" s="98" t="str">
        <x:v>PENDING_OWNER_ELIGIBILITY_APPROVAL</x:v>
      </x:c>
      <x:c r="M501" s="98" t="b">
        <x:f>IF(E501="EOA_CANDIDATE",I501&gt;='Decision Summary'!$B$11,FALSE)</x:f>
        <x:v>0</x:v>
      </x:c>
      <x:c r="N501" s="98" t="str">
        <x:f>IF(M501,"DRAFT INCLUDE","HOLD / EXCLUDE")</x:f>
        <x:v>HOLD / EXCLUDE</x:v>
      </x:c>
      <x:c r="O501" s="101" t="str">
        <x:f>IF(M501,C501,"")</x:f>
      </x:c>
      <x:c r="P501" s="98" t="str">
        <x:f>IF(N501="DRAFT INCLUDE",ROUNDUP(COUNTIF($N$6:N501,"DRAFT INCLUDE")/'Decision Summary'!$B$12,0),"")</x:f>
      </x:c>
      <x:c r="Q501" s="98" t="str">
        <x:f>IF(N501="DRAFT INCLUDE",MOD(COUNTIF($N$6:N501,"DRAFT INCLUDE")-1,'Decision Summary'!$B$12)+1,"")</x:f>
      </x:c>
      <x:c r="R501" s="98" t="str">
        <x:v>PENDING</x:v>
      </x:c>
      <x:c r="S501" s="98" t="str"/>
      <x:c r="T501" s="98" t="str">
        <x:v>Ordinary EOA candidate; inclusion still depends on V1 deprecation, threshold policy and owner approval.</x:v>
      </x:c>
      <x:c r="U501" s="89" t="str">
        <x:v>https://etherscan.io/token/0x445d03f499f1c150615957bb87588fb465fc91cc#balances</x:v>
      </x:c>
      <x:c r="V501" s="89" t="b">
        <x:f>COUNTIF($C$6:$C$502,C501)&gt;1</x:f>
        <x:v>0</x:v>
      </x:c>
    </x:row>
    <x:row r="502">
      <x:c r="A502" s="93" t="n">
        <x:v>497</x:v>
      </x:c>
      <x:c r="B502" s="93" t="str">
        <x:v>v1-mainnet-0497</x:v>
      </x:c>
      <x:c r="C502" s="94" t="str">
        <x:v>0x8f10b468b06c6fd214b65f87778827f7d113f996</x:v>
      </x:c>
      <x:c r="D502" s="99" t="str"/>
      <x:c r="E502" s="99" t="str">
        <x:v>SMART_CONTRACT</x:v>
      </x:c>
      <x:c r="F502" s="95" t="b">
        <x:v>1</x:v>
      </x:c>
      <x:c r="G502" s="93" t="n">
        <x:v>13529</x:v>
      </x:c>
      <x:c r="H502" s="94" t="str">
        <x:v>1</x:v>
      </x:c>
      <x:c r="I502" s="96" t="n">
        <x:v>1e-12</x:v>
      </x:c>
      <x:c r="J502" s="96" t="str">
        <x:v>1000000</x:v>
      </x:c>
      <x:c r="K502" s="96" t="n">
        <x:v>1e-12</x:v>
      </x:c>
      <x:c r="L502" s="99" t="str">
        <x:v>HOLD_CONTRACT_RECIPIENT_REVIEW</x:v>
      </x:c>
      <x:c r="M502" s="99" t="b">
        <x:f>IF(E502="EOA_CANDIDATE",I502&gt;='Decision Summary'!$B$11,FALSE)</x:f>
        <x:v>0</x:v>
      </x:c>
      <x:c r="N502" s="99" t="str">
        <x:f>IF(M502,"DRAFT INCLUDE","HOLD / EXCLUDE")</x:f>
        <x:v>HOLD / EXCLUDE</x:v>
      </x:c>
      <x:c r="O502" s="102" t="str">
        <x:f>IF(M502,C502,"")</x:f>
      </x:c>
      <x:c r="P502" s="99" t="str">
        <x:f>IF(N502="DRAFT INCLUDE",ROUNDUP(COUNTIF($N$6:N502,"DRAFT INCLUDE")/'Decision Summary'!$B$12,0),"")</x:f>
      </x:c>
      <x:c r="Q502" s="99" t="str">
        <x:f>IF(N502="DRAFT INCLUDE",MOD(COUNTIF($N$6:N502,"DRAFT INCLUDE")-1,'Decision Summary'!$B$12)+1,"")</x:f>
      </x:c>
      <x:c r="R502" s="99" t="str">
        <x:v>PENDING</x:v>
      </x:c>
      <x:c r="S502" s="99" t="str"/>
      <x:c r="T502" s="99" t="str">
        <x:v>Contract recipients require ownership, recovery and token-compatibility review.</x:v>
      </x:c>
      <x:c r="U502" s="93" t="str">
        <x:v>https://etherscan.io/token/0x445d03f499f1c150615957bb87588fb465fc91cc#balances</x:v>
      </x:c>
      <x:c r="V502" s="93" t="b">
        <x:f>COUNTIF($C$6:$C$502,C502)&gt;1</x:f>
        <x:v>0</x:v>
      </x:c>
    </x:row>
  </x:sheetData>
  <x:mergeCells>
    <x:mergeCell ref="A1:V1"/>
    <x:mergeCell ref="A2:V2"/>
  </x:mergeCells>
  <x:conditionalFormatting sqref="N6:N502">
    <x:cfRule type="expression" dxfId="0" priority="1">
      <x:formula>$N6="DRAFT INCLUDE"</x:formula>
    </x:cfRule>
    <x:cfRule type="expression" dxfId="1" priority="2">
      <x:formula>$N6="HOLD / EXCLUDE"</x:formula>
    </x:cfRule>
  </x:conditionalFormatting>
  <x:conditionalFormatting sqref="V6:V502">
    <x:cfRule type="expression" dxfId="2" priority="3">
      <x:formula>$V6=TRUE</x:formula>
    </x:cfRule>
  </x:conditionalFormatting>
  <x:dataValidations count="1">
    <x:dataValidation type="list" sqref="R6:R502">
      <x:formula1>"PENDING,INCLUDE,EXCLUDE,HOLD,ADDRESS_OVERRIDE_REQUIRED"</x:formula1>
    </x:dataValidation>
  </x:dataValidations>
  <x:pageMargins left="0.7" right="0.7" top="0.75" bottom="0.75" header="0.3" footer="0.3"/>
  <x:legacyDrawing xmlns:r="http://schemas.openxmlformats.org/officeDocument/2006/relationships" r:id="R309caa6ab27a4b61"/>
  <x:tableParts count="1">
    <x:tablePart xmlns:r="http://schemas.openxmlformats.org/officeDocument/2006/relationships" r:id="Rdd5bd8da9e8d41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44" hidden="0" customWidth="1"/>
    <x:col min="5" max="5" width="18" hidden="0" customWidth="1"/>
    <x:col min="6" max="6" width="18" hidden="0" customWidth="1"/>
    <x:col min="7" max="7" width="31" hidden="0" customWidth="1"/>
    <x:col min="8" max="8" width="20" hidden="0" customWidth="1"/>
    <x:col min="9" max="9" width="3" hidden="0" customWidth="1"/>
    <x:col min="10" max="10" width="19" hidden="0" customWidth="1"/>
    <x:col min="11" max="11" width="18" hidden="0" customWidth="1"/>
  </x:cols>
  <x:sheetData>
    <x:row r="1" ht="34" customHeight="1">
      <x:c r="A1" s="3" t="str">
        <x:v>Draft Safe Batch Plan — Default ≥1,000 BINI Scenario</x:v>
      </x:c>
      <x:c r="B1" s="3"/>
      <x:c r="C1" s="3"/>
      <x:c r="D1" s="3"/>
      <x:c r="E1" s="3"/>
      <x:c r="F1" s="3"/>
      <x:c r="G1" s="3"/>
      <x:c r="H1" s="3"/>
    </x:row>
    <x:row r="2">
      <x:c r="A2" s="103" t="str">
        <x:v>DRAFT_NOT_EXECUTABLE — 26 ordinary EOAs only; batch 1 = 20, batch 2 = 6. Owner eligibility and source Safe approval remain mandatory.</x:v>
      </x:c>
      <x:c r="B2" s="103"/>
      <x:c r="C2" s="103"/>
      <x:c r="D2" s="103"/>
      <x:c r="E2" s="103"/>
      <x:c r="F2" s="103"/>
      <x:c r="G2" s="103"/>
      <x:c r="H2" s="103"/>
    </x:row>
    <x:row r="3" ht="32" customHeight="1">
      <x:c r="J3" s="80" t="str">
        <x:v>Batch summary</x:v>
      </x:c>
      <x:c r="K3" s="82" t="str">
        <x:v>Value</x:v>
      </x:c>
    </x:row>
    <x:row r="4" ht="32" customHeight="1">
      <x:c r="A4" s="80" t="str">
        <x:v>Batch</x:v>
      </x:c>
      <x:c r="B4" s="81" t="str">
        <x:v>Index</x:v>
      </x:c>
      <x:c r="C4" s="81" t="str">
        <x:v>V1 Rank</x:v>
      </x:c>
      <x:c r="D4" s="81" t="str">
        <x:v>Destination</x:v>
      </x:c>
      <x:c r="E4" s="81" t="str">
        <x:v>V1 Amount</x:v>
      </x:c>
      <x:c r="F4" s="81" t="str">
        <x:v>V2 Amount</x:v>
      </x:c>
      <x:c r="G4" s="81" t="str">
        <x:v>V2 Raw</x:v>
      </x:c>
      <x:c r="H4" s="82" t="str">
        <x:v>Owner Decision</x:v>
      </x:c>
      <x:c r="J4" t="str">
        <x:v>Recipients</x:v>
      </x:c>
      <x:c r="K4" t="n">
        <x:f>COUNTA(D5:D30)</x:f>
        <x:v>26</x:v>
      </x:c>
    </x:row>
    <x:row r="5">
      <x:c r="A5" t="n">
        <x:f>ROUNDUP((ROW()-4)/'Decision Summary'!$B$12,0)</x:f>
        <x:v>1</x:v>
      </x:c>
      <x:c r="B5" t="n">
        <x:f>MOD(ROW()-5,'Decision Summary'!$B$12)+1</x:f>
        <x:v>1</x:v>
      </x:c>
      <x:c r="C5" t="n">
        <x:f>'Candidates'!A11</x:f>
        <x:v>6</x:v>
      </x:c>
      <x:c r="D5" s="4" t="str">
        <x:v>0xd15749a7ae26cbab8f56831e029471d4cc756082</x:v>
      </x:c>
      <x:c r="E5" s="84" t="n">
        <x:f>'Candidates'!I11</x:f>
        <x:v>5020982.682245025</x:v>
      </x:c>
      <x:c r="F5" s="84" t="n">
        <x:f>'Candidates'!K11</x:f>
        <x:v>5020982.682245025</x:v>
      </x:c>
      <x:c r="G5" s="4" t="str">
        <x:v>5020982682245025491000000</x:v>
      </x:c>
      <x:c r="H5" t="str">
        <x:f>'Candidates'!R11</x:f>
        <x:v>PENDING</x:v>
      </x:c>
      <x:c r="J5" t="str">
        <x:v>Total V2</x:v>
      </x:c>
      <x:c r="K5" s="84" t="n">
        <x:f>SUM(F5:F30)</x:f>
        <x:v>10770323.813620009</x:v>
      </x:c>
    </x:row>
    <x:row r="6">
      <x:c r="A6" t="n">
        <x:f>ROUNDUP((ROW()-4)/'Decision Summary'!$B$12,0)</x:f>
        <x:v>1</x:v>
      </x:c>
      <x:c r="B6" t="n">
        <x:f>MOD(ROW()-5,'Decision Summary'!$B$12)+1</x:f>
        <x:v>2</x:v>
      </x:c>
      <x:c r="C6" t="n">
        <x:f>'Candidates'!A12</x:f>
        <x:v>7</x:v>
      </x:c>
      <x:c r="D6" s="4" t="str">
        <x:v>0x83ff1cd3ae8e7a2d55a43815985b11d41540ac65</x:v>
      </x:c>
      <x:c r="E6" s="84" t="n">
        <x:f>'Candidates'!I12</x:f>
        <x:v>1524956.1941568637</x:v>
      </x:c>
      <x:c r="F6" s="84" t="n">
        <x:f>'Candidates'!K12</x:f>
        <x:v>1524956.1941568637</x:v>
      </x:c>
      <x:c r="G6" s="4" t="str">
        <x:v>1524956194156863776000000</x:v>
      </x:c>
      <x:c r="H6" t="str">
        <x:f>'Candidates'!R12</x:f>
        <x:v>PENDING</x:v>
      </x:c>
      <x:c r="J6" t="str">
        <x:v>Batch 1 count</x:v>
      </x:c>
      <x:c r="K6" t="n">
        <x:f>COUNTIF(A5:A30,1)</x:f>
        <x:v>20</x:v>
      </x:c>
    </x:row>
    <x:row r="7">
      <x:c r="A7" t="n">
        <x:f>ROUNDUP((ROW()-4)/'Decision Summary'!$B$12,0)</x:f>
        <x:v>1</x:v>
      </x:c>
      <x:c r="B7" t="n">
        <x:f>MOD(ROW()-5,'Decision Summary'!$B$12)+1</x:f>
        <x:v>3</x:v>
      </x:c>
      <x:c r="C7" t="n">
        <x:f>'Candidates'!A13</x:f>
        <x:v>8</x:v>
      </x:c>
      <x:c r="D7" s="4" t="str">
        <x:v>0xad711454019916c9c170426c7c8f38bde739de57</x:v>
      </x:c>
      <x:c r="E7" s="84" t="n">
        <x:f>'Candidates'!I13</x:f>
        <x:v>948059.7947736558</x:v>
      </x:c>
      <x:c r="F7" s="84" t="n">
        <x:f>'Candidates'!K13</x:f>
        <x:v>948059.7947736558</x:v>
      </x:c>
      <x:c r="G7" s="4" t="str">
        <x:v>948059794773655813000000</x:v>
      </x:c>
      <x:c r="H7" t="str">
        <x:f>'Candidates'!R13</x:f>
        <x:v>PENDING</x:v>
      </x:c>
      <x:c r="J7" t="str">
        <x:v>Batch 2 count</x:v>
      </x:c>
      <x:c r="K7" t="n">
        <x:f>COUNTIF(A5:A30,2)</x:f>
        <x:v>6</x:v>
      </x:c>
    </x:row>
    <x:row r="8">
      <x:c r="A8" t="n">
        <x:f>ROUNDUP((ROW()-4)/'Decision Summary'!$B$12,0)</x:f>
        <x:v>1</x:v>
      </x:c>
      <x:c r="B8" t="n">
        <x:f>MOD(ROW()-5,'Decision Summary'!$B$12)+1</x:f>
        <x:v>4</x:v>
      </x:c>
      <x:c r="C8" t="n">
        <x:f>'Candidates'!A14</x:f>
        <x:v>9</x:v>
      </x:c>
      <x:c r="D8" s="4" t="str">
        <x:v>0xa22d7cb335dfbdd6338be3dafa46284e71effdc2</x:v>
      </x:c>
      <x:c r="E8" s="84" t="n">
        <x:f>'Candidates'!I14</x:f>
        <x:v>865000.044816488</x:v>
      </x:c>
      <x:c r="F8" s="84" t="n">
        <x:f>'Candidates'!K14</x:f>
        <x:v>865000.044816488</x:v>
      </x:c>
      <x:c r="G8" s="4" t="str">
        <x:v>865000044816488073000000</x:v>
      </x:c>
      <x:c r="H8" t="str">
        <x:f>'Candidates'!R14</x:f>
        <x:v>PENDING</x:v>
      </x:c>
    </x:row>
    <x:row r="9">
      <x:c r="A9" t="n">
        <x:f>ROUNDUP((ROW()-4)/'Decision Summary'!$B$12,0)</x:f>
        <x:v>1</x:v>
      </x:c>
      <x:c r="B9" t="n">
        <x:f>MOD(ROW()-5,'Decision Summary'!$B$12)+1</x:f>
        <x:v>5</x:v>
      </x:c>
      <x:c r="C9" t="n">
        <x:f>'Candidates'!A15</x:f>
        <x:v>10</x:v>
      </x:c>
      <x:c r="D9" s="4" t="str">
        <x:v>0xfd00644213cc50dab420298ac4a103a11d79d4f1</x:v>
      </x:c>
      <x:c r="E9" s="84" t="n">
        <x:f>'Candidates'!I15</x:f>
        <x:v>852437.7318106814</x:v>
      </x:c>
      <x:c r="F9" s="84" t="n">
        <x:f>'Candidates'!K15</x:f>
        <x:v>852437.7318106814</x:v>
      </x:c>
      <x:c r="G9" s="4" t="str">
        <x:v>852437731810681454000000</x:v>
      </x:c>
      <x:c r="H9" t="str">
        <x:f>'Candidates'!R15</x:f>
        <x:v>PENDING</x:v>
      </x:c>
    </x:row>
    <x:row r="10">
      <x:c r="A10" t="n">
        <x:f>ROUNDUP((ROW()-4)/'Decision Summary'!$B$12,0)</x:f>
        <x:v>1</x:v>
      </x:c>
      <x:c r="B10" t="n">
        <x:f>MOD(ROW()-5,'Decision Summary'!$B$12)+1</x:f>
        <x:v>6</x:v>
      </x:c>
      <x:c r="C10" t="n">
        <x:f>'Candidates'!A16</x:f>
        <x:v>11</x:v>
      </x:c>
      <x:c r="D10" s="4" t="str">
        <x:v>0x0a80a5921ff574795a9c4e01aed176d6276d3820</x:v>
      </x:c>
      <x:c r="E10" s="84" t="n">
        <x:f>'Candidates'!I16</x:f>
        <x:v>840605.9741566092</x:v>
      </x:c>
      <x:c r="F10" s="84" t="n">
        <x:f>'Candidates'!K16</x:f>
        <x:v>840605.9741566092</x:v>
      </x:c>
      <x:c r="G10" s="4" t="str">
        <x:v>840605974156609188000000</x:v>
      </x:c>
      <x:c r="H10" t="str">
        <x:f>'Candidates'!R16</x:f>
        <x:v>PENDING</x:v>
      </x:c>
    </x:row>
    <x:row r="11">
      <x:c r="A11" t="n">
        <x:f>ROUNDUP((ROW()-4)/'Decision Summary'!$B$12,0)</x:f>
        <x:v>1</x:v>
      </x:c>
      <x:c r="B11" t="n">
        <x:f>MOD(ROW()-5,'Decision Summary'!$B$12)+1</x:f>
        <x:v>7</x:v>
      </x:c>
      <x:c r="C11" t="n">
        <x:f>'Candidates'!A18</x:f>
        <x:v>13</x:v>
      </x:c>
      <x:c r="D11" s="4" t="str">
        <x:v>0x5a57ee9a7439f665639c25520d20c06b6a4cb20a</x:v>
      </x:c>
      <x:c r="E11" s="84" t="n">
        <x:f>'Candidates'!I18</x:f>
        <x:v>215335.94520456338</x:v>
      </x:c>
      <x:c r="F11" s="84" t="n">
        <x:f>'Candidates'!K18</x:f>
        <x:v>215335.94520456338</x:v>
      </x:c>
      <x:c r="G11" s="4" t="str">
        <x:v>215335945204563372000000</x:v>
      </x:c>
      <x:c r="H11" t="str">
        <x:f>'Candidates'!R18</x:f>
        <x:v>PENDING</x:v>
      </x:c>
    </x:row>
    <x:row r="12">
      <x:c r="A12" t="n">
        <x:f>ROUNDUP((ROW()-4)/'Decision Summary'!$B$12,0)</x:f>
        <x:v>1</x:v>
      </x:c>
      <x:c r="B12" t="n">
        <x:f>MOD(ROW()-5,'Decision Summary'!$B$12)+1</x:f>
        <x:v>8</x:v>
      </x:c>
      <x:c r="C12" t="n">
        <x:f>'Candidates'!A19</x:f>
        <x:v>14</x:v>
      </x:c>
      <x:c r="D12" s="4" t="str">
        <x:v>0xbefa5f098ab2804e7e409b8d683994e1b0e45849</x:v>
      </x:c>
      <x:c r="E12" s="84" t="n">
        <x:f>'Candidates'!I19</x:f>
        <x:v>111450</x:v>
      </x:c>
      <x:c r="F12" s="84" t="n">
        <x:f>'Candidates'!K19</x:f>
        <x:v>111450</x:v>
      </x:c>
      <x:c r="G12" s="4" t="str">
        <x:v>111450000000000000000000</x:v>
      </x:c>
      <x:c r="H12" t="str">
        <x:f>'Candidates'!R19</x:f>
        <x:v>PENDING</x:v>
      </x:c>
    </x:row>
    <x:row r="13">
      <x:c r="A13" t="n">
        <x:f>ROUNDUP((ROW()-4)/'Decision Summary'!$B$12,0)</x:f>
        <x:v>1</x:v>
      </x:c>
      <x:c r="B13" t="n">
        <x:f>MOD(ROW()-5,'Decision Summary'!$B$12)+1</x:f>
        <x:v>9</x:v>
      </x:c>
      <x:c r="C13" t="n">
        <x:f>'Candidates'!A20</x:f>
        <x:v>15</x:v>
      </x:c>
      <x:c r="D13" s="4" t="str">
        <x:v>0x873816603bd7eb400ef89364e2d8ea4ac5c490e2</x:v>
      </x:c>
      <x:c r="E13" s="84" t="n">
        <x:f>'Candidates'!I20</x:f>
        <x:v>105753.84840418742</x:v>
      </x:c>
      <x:c r="F13" s="84" t="n">
        <x:f>'Candidates'!K20</x:f>
        <x:v>105753.84840418742</x:v>
      </x:c>
      <x:c r="G13" s="4" t="str">
        <x:v>105753848404187421000000</x:v>
      </x:c>
      <x:c r="H13" t="str">
        <x:f>'Candidates'!R20</x:f>
        <x:v>PENDING</x:v>
      </x:c>
    </x:row>
    <x:row r="14">
      <x:c r="A14" t="n">
        <x:f>ROUNDUP((ROW()-4)/'Decision Summary'!$B$12,0)</x:f>
        <x:v>1</x:v>
      </x:c>
      <x:c r="B14" t="n">
        <x:f>MOD(ROW()-5,'Decision Summary'!$B$12)+1</x:f>
        <x:v>10</x:v>
      </x:c>
      <x:c r="C14" t="n">
        <x:f>'Candidates'!A21</x:f>
        <x:v>16</x:v>
      </x:c>
      <x:c r="D14" s="4" t="str">
        <x:v>0xcf89b519825876c7ac6dfe56a1caa35abfce565f</x:v>
      </x:c>
      <x:c r="E14" s="84" t="n">
        <x:f>'Candidates'!I21</x:f>
        <x:v>71243.79169143598</x:v>
      </x:c>
      <x:c r="F14" s="84" t="n">
        <x:f>'Candidates'!K21</x:f>
        <x:v>71243.79169143598</x:v>
      </x:c>
      <x:c r="G14" s="4" t="str">
        <x:v>71243791691435985000000</x:v>
      </x:c>
      <x:c r="H14" t="str">
        <x:f>'Candidates'!R21</x:f>
        <x:v>PENDING</x:v>
      </x:c>
    </x:row>
    <x:row r="15">
      <x:c r="A15" t="n">
        <x:f>ROUNDUP((ROW()-4)/'Decision Summary'!$B$12,0)</x:f>
        <x:v>1</x:v>
      </x:c>
      <x:c r="B15" t="n">
        <x:f>MOD(ROW()-5,'Decision Summary'!$B$12)+1</x:f>
        <x:v>11</x:v>
      </x:c>
      <x:c r="C15" t="n">
        <x:f>'Candidates'!A22</x:f>
        <x:v>17</x:v>
      </x:c>
      <x:c r="D15" s="4" t="str">
        <x:v>0x7c83a7e99f039ee9a699c3d8f04906d373f5fc36</x:v>
      </x:c>
      <x:c r="E15" s="84" t="n">
        <x:f>'Candidates'!I22</x:f>
        <x:v>66402.94857894519</x:v>
      </x:c>
      <x:c r="F15" s="84" t="n">
        <x:f>'Candidates'!K22</x:f>
        <x:v>66402.94857894519</x:v>
      </x:c>
      <x:c r="G15" s="4" t="str">
        <x:v>66402948578945192000000</x:v>
      </x:c>
      <x:c r="H15" t="str">
        <x:f>'Candidates'!R22</x:f>
        <x:v>PENDING</x:v>
      </x:c>
    </x:row>
    <x:row r="16">
      <x:c r="A16" t="n">
        <x:f>ROUNDUP((ROW()-4)/'Decision Summary'!$B$12,0)</x:f>
        <x:v>1</x:v>
      </x:c>
      <x:c r="B16" t="n">
        <x:f>MOD(ROW()-5,'Decision Summary'!$B$12)+1</x:f>
        <x:v>12</x:v>
      </x:c>
      <x:c r="C16" t="n">
        <x:f>'Candidates'!A23</x:f>
        <x:v>18</x:v>
      </x:c>
      <x:c r="D16" s="4" t="str">
        <x:v>0x219d05ac1ccff122495cfea25a8fc059e19fae94</x:v>
      </x:c>
      <x:c r="E16" s="84" t="n">
        <x:f>'Candidates'!I23</x:f>
        <x:v>43116.82756629981</x:v>
      </x:c>
      <x:c r="F16" s="84" t="n">
        <x:f>'Candidates'!K23</x:f>
        <x:v>43116.82756629981</x:v>
      </x:c>
      <x:c r="G16" s="4" t="str">
        <x:v>43116827566299812000000</x:v>
      </x:c>
      <x:c r="H16" t="str">
        <x:f>'Candidates'!R23</x:f>
        <x:v>PENDING</x:v>
      </x:c>
    </x:row>
    <x:row r="17">
      <x:c r="A17" t="n">
        <x:f>ROUNDUP((ROW()-4)/'Decision Summary'!$B$12,0)</x:f>
        <x:v>1</x:v>
      </x:c>
      <x:c r="B17" t="n">
        <x:f>MOD(ROW()-5,'Decision Summary'!$B$12)+1</x:f>
        <x:v>13</x:v>
      </x:c>
      <x:c r="C17" t="n">
        <x:f>'Candidates'!A24</x:f>
        <x:v>19</x:v>
      </x:c>
      <x:c r="D17" s="4" t="str">
        <x:v>0x5eeed48afb574271d5150aaaa254dc791a5d981a</x:v>
      </x:c>
      <x:c r="E17" s="84" t="n">
        <x:f>'Candidates'!I24</x:f>
        <x:v>25620</x:v>
      </x:c>
      <x:c r="F17" s="84" t="n">
        <x:f>'Candidates'!K24</x:f>
        <x:v>25620</x:v>
      </x:c>
      <x:c r="G17" s="4" t="str">
        <x:v>25620000000000000000000</x:v>
      </x:c>
      <x:c r="H17" t="str">
        <x:f>'Candidates'!R24</x:f>
        <x:v>PENDING</x:v>
      </x:c>
    </x:row>
    <x:row r="18">
      <x:c r="A18" t="n">
        <x:f>ROUNDUP((ROW()-4)/'Decision Summary'!$B$12,0)</x:f>
        <x:v>1</x:v>
      </x:c>
      <x:c r="B18" t="n">
        <x:f>MOD(ROW()-5,'Decision Summary'!$B$12)+1</x:f>
        <x:v>14</x:v>
      </x:c>
      <x:c r="C18" t="n">
        <x:f>'Candidates'!A25</x:f>
        <x:v>20</x:v>
      </x:c>
      <x:c r="D18" s="4" t="str">
        <x:v>0x7637b9b75f7036683dd92664bfd693401be04b67</x:v>
      </x:c>
      <x:c r="E18" s="84" t="n">
        <x:f>'Candidates'!I25</x:f>
        <x:v>23000</x:v>
      </x:c>
      <x:c r="F18" s="84" t="n">
        <x:f>'Candidates'!K25</x:f>
        <x:v>23000</x:v>
      </x:c>
      <x:c r="G18" s="4" t="str">
        <x:v>23000000000000000000000</x:v>
      </x:c>
      <x:c r="H18" t="str">
        <x:f>'Candidates'!R25</x:f>
        <x:v>PENDING</x:v>
      </x:c>
    </x:row>
    <x:row r="19">
      <x:c r="A19" t="n">
        <x:f>ROUNDUP((ROW()-4)/'Decision Summary'!$B$12,0)</x:f>
        <x:v>1</x:v>
      </x:c>
      <x:c r="B19" t="n">
        <x:f>MOD(ROW()-5,'Decision Summary'!$B$12)+1</x:f>
        <x:v>15</x:v>
      </x:c>
      <x:c r="C19" t="n">
        <x:f>'Candidates'!A26</x:f>
        <x:v>21</x:v>
      </x:c>
      <x:c r="D19" s="4" t="str">
        <x:v>0x2eed6597e3f4762b907e194a62ac678de1186120</x:v>
      </x:c>
      <x:c r="E19" s="84" t="n">
        <x:f>'Candidates'!I26</x:f>
        <x:v>17725.299374436916</x:v>
      </x:c>
      <x:c r="F19" s="84" t="n">
        <x:f>'Candidates'!K26</x:f>
        <x:v>17725.299374436916</x:v>
      </x:c>
      <x:c r="G19" s="4" t="str">
        <x:v>17725299374436916000000</x:v>
      </x:c>
      <x:c r="H19" t="str">
        <x:f>'Candidates'!R26</x:f>
        <x:v>PENDING</x:v>
      </x:c>
    </x:row>
    <x:row r="20">
      <x:c r="A20" t="n">
        <x:f>ROUNDUP((ROW()-4)/'Decision Summary'!$B$12,0)</x:f>
        <x:v>1</x:v>
      </x:c>
      <x:c r="B20" t="n">
        <x:f>MOD(ROW()-5,'Decision Summary'!$B$12)+1</x:f>
        <x:v>16</x:v>
      </x:c>
      <x:c r="C20" t="n">
        <x:f>'Candidates'!A27</x:f>
        <x:v>22</x:v>
      </x:c>
      <x:c r="D20" s="4" t="str">
        <x:v>0xaa41d96d5ca0a9e4a1537988469e918c620ae445</x:v>
      </x:c>
      <x:c r="E20" s="84" t="n">
        <x:f>'Candidates'!I27</x:f>
        <x:v>7341.061149199077</x:v>
      </x:c>
      <x:c r="F20" s="84" t="n">
        <x:f>'Candidates'!K27</x:f>
        <x:v>7341.061149199077</x:v>
      </x:c>
      <x:c r="G20" s="4" t="str">
        <x:v>7341061149199077000000</x:v>
      </x:c>
      <x:c r="H20" t="str">
        <x:f>'Candidates'!R27</x:f>
        <x:v>PENDING</x:v>
      </x:c>
    </x:row>
    <x:row r="21">
      <x:c r="A21" t="n">
        <x:f>ROUNDUP((ROW()-4)/'Decision Summary'!$B$12,0)</x:f>
        <x:v>1</x:v>
      </x:c>
      <x:c r="B21" t="n">
        <x:f>MOD(ROW()-5,'Decision Summary'!$B$12)+1</x:f>
        <x:v>17</x:v>
      </x:c>
      <x:c r="C21" t="n">
        <x:f>'Candidates'!A28</x:f>
        <x:v>23</x:v>
      </x:c>
      <x:c r="D21" s="4" t="str">
        <x:v>0xda4368a900a6010493f30639c5f71ccb79ad53da</x:v>
      </x:c>
      <x:c r="E21" s="84" t="n">
        <x:f>'Candidates'!I28</x:f>
        <x:v>4000</x:v>
      </x:c>
      <x:c r="F21" s="84" t="n">
        <x:f>'Candidates'!K28</x:f>
        <x:v>4000</x:v>
      </x:c>
      <x:c r="G21" s="4" t="str">
        <x:v>4000000000000000000000</x:v>
      </x:c>
      <x:c r="H21" t="str">
        <x:f>'Candidates'!R28</x:f>
        <x:v>PENDING</x:v>
      </x:c>
    </x:row>
    <x:row r="22">
      <x:c r="A22" t="n">
        <x:f>ROUNDUP((ROW()-4)/'Decision Summary'!$B$12,0)</x:f>
        <x:v>1</x:v>
      </x:c>
      <x:c r="B22" t="n">
        <x:f>MOD(ROW()-5,'Decision Summary'!$B$12)+1</x:f>
        <x:v>18</x:v>
      </x:c>
      <x:c r="C22" t="n">
        <x:f>'Candidates'!A29</x:f>
        <x:v>24</x:v>
      </x:c>
      <x:c r="D22" s="4" t="str">
        <x:v>0x5192f343e7d494d65d50c5c75ec185bf8ae26f85</x:v>
      </x:c>
      <x:c r="E22" s="84" t="n">
        <x:f>'Candidates'!I29</x:f>
        <x:v>3818.957837226085</x:v>
      </x:c>
      <x:c r="F22" s="84" t="n">
        <x:f>'Candidates'!K29</x:f>
        <x:v>3818.957837226085</x:v>
      </x:c>
      <x:c r="G22" s="4" t="str">
        <x:v>3818957837226085000000</x:v>
      </x:c>
      <x:c r="H22" t="str">
        <x:f>'Candidates'!R29</x:f>
        <x:v>PENDING</x:v>
      </x:c>
    </x:row>
    <x:row r="23">
      <x:c r="A23" t="n">
        <x:f>ROUNDUP((ROW()-4)/'Decision Summary'!$B$12,0)</x:f>
        <x:v>1</x:v>
      </x:c>
      <x:c r="B23" t="n">
        <x:f>MOD(ROW()-5,'Decision Summary'!$B$12)+1</x:f>
        <x:v>19</x:v>
      </x:c>
      <x:c r="C23" t="n">
        <x:f>'Candidates'!A30</x:f>
        <x:v>25</x:v>
      </x:c>
      <x:c r="D23" s="4" t="str">
        <x:v>0xcb17ea8c4b0f869d1a5837e6764b355f1dbb90cb</x:v>
      </x:c>
      <x:c r="E23" s="84" t="n">
        <x:f>'Candidates'!I30</x:f>
        <x:v>3655.622955813256</x:v>
      </x:c>
      <x:c r="F23" s="84" t="n">
        <x:f>'Candidates'!K30</x:f>
        <x:v>3655.622955813256</x:v>
      </x:c>
      <x:c r="G23" s="4" t="str">
        <x:v>3655622955813256000000</x:v>
      </x:c>
      <x:c r="H23" t="str">
        <x:f>'Candidates'!R30</x:f>
        <x:v>PENDING</x:v>
      </x:c>
    </x:row>
    <x:row r="24">
      <x:c r="A24" t="n">
        <x:f>ROUNDUP((ROW()-4)/'Decision Summary'!$B$12,0)</x:f>
        <x:v>1</x:v>
      </x:c>
      <x:c r="B24" t="n">
        <x:f>MOD(ROW()-5,'Decision Summary'!$B$12)+1</x:f>
        <x:v>20</x:v>
      </x:c>
      <x:c r="C24" t="n">
        <x:f>'Candidates'!A31</x:f>
        <x:v>26</x:v>
      </x:c>
      <x:c r="D24" s="4" t="str">
        <x:v>0xf20fee5b0233c67c1377013937c893188f85e412</x:v>
      </x:c>
      <x:c r="E24" s="84" t="n">
        <x:f>'Candidates'!I31</x:f>
        <x:v>3655.622955813256</x:v>
      </x:c>
      <x:c r="F24" s="84" t="n">
        <x:f>'Candidates'!K31</x:f>
        <x:v>3655.622955813256</x:v>
      </x:c>
      <x:c r="G24" s="4" t="str">
        <x:v>3655622955813256000000</x:v>
      </x:c>
      <x:c r="H24" t="str">
        <x:f>'Candidates'!R31</x:f>
        <x:v>PENDING</x:v>
      </x:c>
    </x:row>
    <x:row r="25">
      <x:c r="A25" t="n">
        <x:f>ROUNDUP((ROW()-4)/'Decision Summary'!$B$12,0)</x:f>
        <x:v>2</x:v>
      </x:c>
      <x:c r="B25" t="n">
        <x:f>MOD(ROW()-5,'Decision Summary'!$B$12)+1</x:f>
        <x:v>1</x:v>
      </x:c>
      <x:c r="C25" t="n">
        <x:f>'Candidates'!A32</x:f>
        <x:v>27</x:v>
      </x:c>
      <x:c r="D25" s="4" t="str">
        <x:v>0x7e77b27607f6736beb767078ca27c5249a1e37df</x:v>
      </x:c>
      <x:c r="E25" s="84" t="n">
        <x:f>'Candidates'!I32</x:f>
        <x:v>3641.569697193433</x:v>
      </x:c>
      <x:c r="F25" s="84" t="n">
        <x:f>'Candidates'!K32</x:f>
        <x:v>3641.569697193433</x:v>
      </x:c>
      <x:c r="G25" s="4" t="str">
        <x:v>3641569697193433000000</x:v>
      </x:c>
      <x:c r="H25" t="str">
        <x:f>'Candidates'!R32</x:f>
        <x:v>PENDING</x:v>
      </x:c>
    </x:row>
    <x:row r="26">
      <x:c r="A26" t="n">
        <x:f>ROUNDUP((ROW()-4)/'Decision Summary'!$B$12,0)</x:f>
        <x:v>2</x:v>
      </x:c>
      <x:c r="B26" t="n">
        <x:f>MOD(ROW()-5,'Decision Summary'!$B$12)+1</x:f>
        <x:v>2</x:v>
      </x:c>
      <x:c r="C26" t="n">
        <x:f>'Candidates'!A33</x:f>
        <x:v>28</x:v>
      </x:c>
      <x:c r="D26" s="4" t="str">
        <x:v>0xb2c23eed316e7ee29a758dcc194616a03b5cbe57</x:v>
      </x:c>
      <x:c r="E26" s="84" t="n">
        <x:f>'Candidates'!I33</x:f>
        <x:v>3619.896252215723</x:v>
      </x:c>
      <x:c r="F26" s="84" t="n">
        <x:f>'Candidates'!K33</x:f>
        <x:v>3619.896252215723</x:v>
      </x:c>
      <x:c r="G26" s="4" t="str">
        <x:v>3619896252215723000000</x:v>
      </x:c>
      <x:c r="H26" t="str">
        <x:f>'Candidates'!R33</x:f>
        <x:v>PENDING</x:v>
      </x:c>
    </x:row>
    <x:row r="27">
      <x:c r="A27" t="n">
        <x:f>ROUNDUP((ROW()-4)/'Decision Summary'!$B$12,0)</x:f>
        <x:v>2</x:v>
      </x:c>
      <x:c r="B27" t="n">
        <x:f>MOD(ROW()-5,'Decision Summary'!$B$12)+1</x:f>
        <x:v>3</x:v>
      </x:c>
      <x:c r="C27" t="n">
        <x:f>'Candidates'!A34</x:f>
        <x:v>29</x:v>
      </x:c>
      <x:c r="D27" s="4" t="str">
        <x:v>0x92070978459b129f2a3c0206a7ce8ce1420dc241</x:v>
      </x:c>
      <x:c r="E27" s="84" t="n">
        <x:f>'Candidates'!I34</x:f>
        <x:v>3499.999993355773</x:v>
      </x:c>
      <x:c r="F27" s="84" t="n">
        <x:f>'Candidates'!K34</x:f>
        <x:v>3499.999993355773</x:v>
      </x:c>
      <x:c r="G27" s="4" t="str">
        <x:v>3499999993355773000000</x:v>
      </x:c>
      <x:c r="H27" t="str">
        <x:f>'Candidates'!R34</x:f>
        <x:v>PENDING</x:v>
      </x:c>
    </x:row>
    <x:row r="28">
      <x:c r="A28" t="n">
        <x:f>ROUNDUP((ROW()-4)/'Decision Summary'!$B$12,0)</x:f>
        <x:v>2</x:v>
      </x:c>
      <x:c r="B28" t="n">
        <x:f>MOD(ROW()-5,'Decision Summary'!$B$12)+1</x:f>
        <x:v>4</x:v>
      </x:c>
      <x:c r="C28" t="n">
        <x:f>'Candidates'!A35</x:f>
        <x:v>30</x:v>
      </x:c>
      <x:c r="D28" s="4" t="str">
        <x:v>0x1699520ace8741c9359126f3cecf5b800abe689f</x:v>
      </x:c>
      <x:c r="E28" s="84" t="n">
        <x:f>'Candidates'!I35</x:f>
        <x:v>3000</x:v>
      </x:c>
      <x:c r="F28" s="84" t="n">
        <x:f>'Candidates'!K35</x:f>
        <x:v>3000</x:v>
      </x:c>
      <x:c r="G28" s="4" t="str">
        <x:v>3000000000000000000000</x:v>
      </x:c>
      <x:c r="H28" t="str">
        <x:f>'Candidates'!R35</x:f>
        <x:v>PENDING</x:v>
      </x:c>
    </x:row>
    <x:row r="29">
      <x:c r="A29" t="n">
        <x:f>ROUNDUP((ROW()-4)/'Decision Summary'!$B$12,0)</x:f>
        <x:v>2</x:v>
      </x:c>
      <x:c r="B29" t="n">
        <x:f>MOD(ROW()-5,'Decision Summary'!$B$12)+1</x:f>
        <x:v>5</x:v>
      </x:c>
      <x:c r="C29" t="n">
        <x:f>'Candidates'!A36</x:f>
        <x:v>31</x:v>
      </x:c>
      <x:c r="D29" s="4" t="str">
        <x:v>0x2bd0dc9b2e0463b2bfd1dfd558b32e8a467967fa</x:v>
      </x:c>
      <x:c r="E29" s="84" t="n">
        <x:f>'Candidates'!I36</x:f>
        <x:v>1400</x:v>
      </x:c>
      <x:c r="F29" s="84" t="n">
        <x:f>'Candidates'!K36</x:f>
        <x:v>1400</x:v>
      </x:c>
      <x:c r="G29" s="4" t="str">
        <x:v>1400000000000000000000</x:v>
      </x:c>
      <x:c r="H29" t="str">
        <x:f>'Candidates'!R36</x:f>
        <x:v>PENDING</x:v>
      </x:c>
    </x:row>
    <x:row r="30">
      <x:c r="A30" t="n">
        <x:f>ROUNDUP((ROW()-4)/'Decision Summary'!$B$12,0)</x:f>
        <x:v>2</x:v>
      </x:c>
      <x:c r="B30" t="n">
        <x:f>MOD(ROW()-5,'Decision Summary'!$B$12)+1</x:f>
        <x:v>6</x:v>
      </x:c>
      <x:c r="C30" t="n">
        <x:f>'Candidates'!A37</x:f>
        <x:v>32</x:v>
      </x:c>
      <x:c r="D30" s="4" t="str">
        <x:v>0x0f99f38ddc828216b9d7ab3ecfe2509cd88507fd</x:v>
      </x:c>
      <x:c r="E30" s="84" t="n">
        <x:f>'Candidates'!I37</x:f>
        <x:v>1000</x:v>
      </x:c>
      <x:c r="F30" s="84" t="n">
        <x:f>'Candidates'!K37</x:f>
        <x:v>1000</x:v>
      </x:c>
      <x:c r="G30" s="4" t="str">
        <x:v>1000000000000000000000</x:v>
      </x:c>
      <x:c r="H30" t="str">
        <x:f>'Candidates'!R37</x:f>
        <x:v>PENDING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c99fb45671f41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31" hidden="0" customWidth="1"/>
    <x:col min="4" max="4" width="35" hidden="0" customWidth="1"/>
    <x:col min="5" max="5" width="18" hidden="0" customWidth="1"/>
    <x:col min="6" max="6" width="18" hidden="0" customWidth="1"/>
    <x:col min="7" max="7" width="34" hidden="0" customWidth="1"/>
    <x:col min="8" max="8" width="20" hidden="0" customWidth="1"/>
    <x:col min="9" max="9" width="24" hidden="0" customWidth="1"/>
    <x:col min="10" max="10" width="62" hidden="0" customWidth="1"/>
  </x:cols>
  <x:sheetData>
    <x:row r="1" ht="34" customHeight="1">
      <x:c r="A1" s="3" t="str">
        <x:v>Mandatory Owner Review — Top-5, DEX, Custody and Contract Exceptions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05" t="str">
        <x:v>These rows are deliberately outside the draft batch plan. No blank decision may be treated as INCLUDE.</x:v>
      </x:c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4" ht="32" customHeight="1">
      <x:c r="A4" s="80" t="str">
        <x:v>Rank</x:v>
      </x:c>
      <x:c r="B4" s="81" t="str">
        <x:v>Address</x:v>
      </x:c>
      <x:c r="C4" s="81" t="str">
        <x:v>Label</x:v>
      </x:c>
      <x:c r="D4" s="81" t="str">
        <x:v>Holder Type</x:v>
      </x:c>
      <x:c r="E4" s="81" t="str">
        <x:v>V1 Amount</x:v>
      </x:c>
      <x:c r="F4" s="81" t="str">
        <x:v>V2 Amount</x:v>
      </x:c>
      <x:c r="G4" s="81" t="str">
        <x:v>Disposition</x:v>
      </x:c>
      <x:c r="H4" s="81" t="str">
        <x:v>Owner Decision</x:v>
      </x:c>
      <x:c r="I4" s="81" t="str">
        <x:v>Decision Reference</x:v>
      </x:c>
      <x:c r="J4" s="82" t="str">
        <x:v>Reason</x:v>
      </x:c>
    </x:row>
    <x:row r="5">
      <x:c r="A5" t="n">
        <x:f>'Candidates'!A6</x:f>
        <x:v>1</x:v>
      </x:c>
      <x:c r="B5" s="4" t="str">
        <x:v>0x876146f9e8863ba09a7eff0d8209e708a3fee802</x:v>
      </x:c>
      <x:c r="C5" s="106" t="str">
        <x:f>'Candidates'!D6</x:f>
      </x:c>
      <x:c r="D5" s="106" t="str">
        <x:f>'Candidates'!E6</x:f>
        <x:v>TOP5_OWNER_CLASSIFICATION_REQUIRED</x:v>
      </x:c>
      <x:c r="E5" s="107" t="n">
        <x:f>'Candidates'!I6</x:f>
        <x:v>883718640.9031634</x:v>
      </x:c>
      <x:c r="F5" s="107" t="n">
        <x:f>'Candidates'!K6</x:f>
        <x:v>883718640.9031634</x:v>
      </x:c>
      <x:c r="G5" s="106" t="str">
        <x:f>'Candidates'!L6</x:f>
        <x:v>HOLD_OWNER_DECISION_REQUIRED</x:v>
      </x:c>
      <x:c r="H5" s="106" t="str">
        <x:f>'Candidates'!R6</x:f>
        <x:v>PENDING</x:v>
      </x:c>
      <x:c r="I5" s="106" t="str">
        <x:f>'Candidates'!S6</x:f>
      </x:c>
      <x:c r="J5" s="106" t="str">
        <x:f>'Candidates'!T6</x:f>
        <x:v>Top-five balances represent 98.84% of V1 supply and cannot be treated as ordinary holder payouts without wallet ownership/tokenomics mapping.</x:v>
      </x:c>
    </x:row>
    <x:row r="6">
      <x:c r="A6" t="n">
        <x:f>'Candidates'!A7</x:f>
        <x:v>2</x:v>
      </x:c>
      <x:c r="B6" s="4" t="str">
        <x:v>0x6be007b1befd60624a55b901095dc2f4218a6211</x:v>
      </x:c>
      <x:c r="C6" s="106" t="str">
        <x:f>'Candidates'!D7</x:f>
      </x:c>
      <x:c r="D6" s="106" t="str">
        <x:f>'Candidates'!E7</x:f>
        <x:v>TOP5_OWNER_CLASSIFICATION_REQUIRED</x:v>
      </x:c>
      <x:c r="E6" s="107" t="n">
        <x:f>'Candidates'!I7</x:f>
        <x:v>56753033.52521569</x:v>
      </x:c>
      <x:c r="F6" s="107" t="n">
        <x:f>'Candidates'!K7</x:f>
        <x:v>56753033.52521569</x:v>
      </x:c>
      <x:c r="G6" s="106" t="str">
        <x:f>'Candidates'!L7</x:f>
        <x:v>HOLD_OWNER_DECISION_REQUIRED</x:v>
      </x:c>
      <x:c r="H6" s="106" t="str">
        <x:f>'Candidates'!R7</x:f>
        <x:v>PENDING</x:v>
      </x:c>
      <x:c r="I6" s="106" t="str">
        <x:f>'Candidates'!S7</x:f>
      </x:c>
      <x:c r="J6" s="106" t="str">
        <x:f>'Candidates'!T7</x:f>
        <x:v>Top-five balances represent 98.84% of V1 supply and cannot be treated as ordinary holder payouts without wallet ownership/tokenomics mapping.</x:v>
      </x:c>
    </x:row>
    <x:row r="7">
      <x:c r="A7" t="n">
        <x:f>'Candidates'!A8</x:f>
        <x:v>3</x:v>
      </x:c>
      <x:c r="B7" s="4" t="str">
        <x:v>0x37c441d73308f0778f73664a6ee1be96c43745ab</x:v>
      </x:c>
      <x:c r="C7" s="106" t="str">
        <x:f>'Candidates'!D8</x:f>
      </x:c>
      <x:c r="D7" s="106" t="str">
        <x:f>'Candidates'!E8</x:f>
        <x:v>TOP5_OWNER_CLASSIFICATION_REQUIRED</x:v>
      </x:c>
      <x:c r="E7" s="107" t="n">
        <x:f>'Candidates'!I8</x:f>
        <x:v>19948969.216406506</x:v>
      </x:c>
      <x:c r="F7" s="107" t="n">
        <x:f>'Candidates'!K8</x:f>
        <x:v>19948969.216406506</x:v>
      </x:c>
      <x:c r="G7" s="106" t="str">
        <x:f>'Candidates'!L8</x:f>
        <x:v>HOLD_OWNER_DECISION_REQUIRED</x:v>
      </x:c>
      <x:c r="H7" s="106" t="str">
        <x:f>'Candidates'!R8</x:f>
        <x:v>PENDING</x:v>
      </x:c>
      <x:c r="I7" s="106" t="str">
        <x:f>'Candidates'!S8</x:f>
      </x:c>
      <x:c r="J7" s="106" t="str">
        <x:f>'Candidates'!T8</x:f>
        <x:v>Top-five balances represent 98.84% of V1 supply and cannot be treated as ordinary holder payouts without wallet ownership/tokenomics mapping.</x:v>
      </x:c>
    </x:row>
    <x:row r="8">
      <x:c r="A8" t="n">
        <x:f>'Candidates'!A9</x:f>
        <x:v>4</x:v>
      </x:c>
      <x:c r="B8" s="4" t="str">
        <x:v>0xe32cfba7afd85c04d7c608c98e429cc6a000858a</x:v>
      </x:c>
      <x:c r="C8" s="106" t="str">
        <x:f>'Candidates'!D9</x:f>
      </x:c>
      <x:c r="D8" s="106" t="str">
        <x:f>'Candidates'!E9</x:f>
        <x:v>TOP5_OWNER_CLASSIFICATION_REQUIRED</x:v>
      </x:c>
      <x:c r="E8" s="107" t="n">
        <x:f>'Candidates'!I9</x:f>
        <x:v>18003608.365208678</x:v>
      </x:c>
      <x:c r="F8" s="107" t="n">
        <x:f>'Candidates'!K9</x:f>
        <x:v>18003608.365208678</x:v>
      </x:c>
      <x:c r="G8" s="106" t="str">
        <x:f>'Candidates'!L9</x:f>
        <x:v>HOLD_OWNER_DECISION_REQUIRED</x:v>
      </x:c>
      <x:c r="H8" s="106" t="str">
        <x:f>'Candidates'!R9</x:f>
        <x:v>PENDING</x:v>
      </x:c>
      <x:c r="I8" s="106" t="str">
        <x:f>'Candidates'!S9</x:f>
      </x:c>
      <x:c r="J8" s="106" t="str">
        <x:f>'Candidates'!T9</x:f>
        <x:v>Top-five balances represent 98.84% of V1 supply and cannot be treated as ordinary holder payouts without wallet ownership/tokenomics mapping.</x:v>
      </x:c>
    </x:row>
    <x:row r="9">
      <x:c r="A9" t="n">
        <x:f>'Candidates'!A10</x:f>
        <x:v>5</x:v>
      </x:c>
      <x:c r="B9" s="4" t="str">
        <x:v>0x706df7f43f2d552928c72c04f6bd7b056d76b336</x:v>
      </x:c>
      <x:c r="C9" s="106" t="str">
        <x:f>'Candidates'!D10</x:f>
      </x:c>
      <x:c r="D9" s="106" t="str">
        <x:f>'Candidates'!E10</x:f>
        <x:v>TOP5_OWNER_CLASSIFICATION_REQUIRED</x:v>
      </x:c>
      <x:c r="E9" s="107" t="n">
        <x:f>'Candidates'!I10</x:f>
        <x:v>10000000</x:v>
      </x:c>
      <x:c r="F9" s="107" t="n">
        <x:f>'Candidates'!K10</x:f>
        <x:v>10000000</x:v>
      </x:c>
      <x:c r="G9" s="106" t="str">
        <x:f>'Candidates'!L10</x:f>
        <x:v>HOLD_OWNER_DECISION_REQUIRED</x:v>
      </x:c>
      <x:c r="H9" s="106" t="str">
        <x:f>'Candidates'!R10</x:f>
        <x:v>PENDING</x:v>
      </x:c>
      <x:c r="I9" s="106" t="str">
        <x:f>'Candidates'!S10</x:f>
      </x:c>
      <x:c r="J9" s="106" t="str">
        <x:f>'Candidates'!T10</x:f>
        <x:v>Top-five balances represent 98.84% of V1 supply and cannot be treated as ordinary holder payouts without wallet ownership/tokenomics mapping.</x:v>
      </x:c>
    </x:row>
    <x:row r="10">
      <x:c r="A10" t="n">
        <x:f>'Candidates'!A17</x:f>
        <x:v>12</x:v>
      </x:c>
      <x:c r="B10" s="4" t="str">
        <x:v>0x000000000004444c5dc75cb358380d2e3de08a90</x:v>
      </x:c>
      <x:c r="C10" s="106" t="str">
        <x:f>'Candidates'!D17</x:f>
        <x:v>Uniswap V4: Pool Manager</x:v>
      </x:c>
      <x:c r="D10" s="106" t="str">
        <x:f>'Candidates'!E17</x:f>
        <x:v>DEX_INFRASTRUCTURE</x:v>
      </x:c>
      <x:c r="E10" s="107" t="n">
        <x:f>'Candidates'!I17</x:f>
        <x:v>796919.5000287028</x:v>
      </x:c>
      <x:c r="F10" s="107" t="n">
        <x:f>'Candidates'!K17</x:f>
        <x:v>796919.5000287028</x:v>
      </x:c>
      <x:c r="G10" s="106" t="str">
        <x:f>'Candidates'!L17</x:f>
        <x:v>EXCLUDE_DEX_INFRASTRUCTURE</x:v>
      </x:c>
      <x:c r="H10" s="106" t="str">
        <x:f>'Candidates'!R17</x:f>
        <x:v>PENDING</x:v>
      </x:c>
      <x:c r="I10" s="106" t="str">
        <x:f>'Candidates'!S17</x:f>
      </x:c>
      <x:c r="J10" s="106" t="str">
        <x:f>'Candidates'!T17</x:f>
        <x:v>Uniswap V4 PoolManager balance is protocol liquidity/infrastructure, not a direct holder recipient.</x:v>
      </x:c>
    </x:row>
    <x:row r="11">
      <x:c r="A11" t="n">
        <x:f>'Candidates'!A39</x:f>
        <x:v>34</x:v>
      </x:c>
      <x:c r="B11" s="4" t="str">
        <x:v>0x29e7acb32b7c73bc0003b3e478eaba7c24acde7d</x:v>
      </x:c>
      <x:c r="C11" s="106" t="str">
        <x:f>'Candidates'!D39</x:f>
        <x:v>Binance Dep: 0x29e7AcB32B7c73BC0003b3e478EABA7C24acDE7d</x:v>
      </x:c>
      <x:c r="D11" s="106" t="str">
        <x:f>'Candidates'!E39</x:f>
        <x:v>CUSTODIAL_EXCHANGE_DEPOSIT</x:v>
      </x:c>
      <x:c r="E11" s="107" t="n">
        <x:f>'Candidates'!I39</x:f>
        <x:v>473.42037</x:v>
      </x:c>
      <x:c r="F11" s="107" t="n">
        <x:f>'Candidates'!K39</x:f>
        <x:v>473.42037</x:v>
      </x:c>
      <x:c r="G11" s="106" t="str">
        <x:f>'Candidates'!L39</x:f>
        <x:v>HOLD_DESTINATION_PROOF_REQUIRED</x:v>
      </x:c>
      <x:c r="H11" s="106" t="str">
        <x:f>'Candidates'!R39</x:f>
        <x:v>PENDING</x:v>
      </x:c>
      <x:c r="I11" s="106" t="str">
        <x:f>'Candidates'!S39</x:f>
      </x:c>
      <x:c r="J11" s="106" t="str">
        <x:f>'Candidates'!T39</x:f>
        <x:v>Exchange deposit addresses must not receive V2 without a signed alternate-destination instruction and custody review.</x:v>
      </x:c>
    </x:row>
    <x:row r="12">
      <x:c r="A12" t="n">
        <x:f>'Candidates'!A55</x:f>
        <x:v>50</x:v>
      </x:c>
      <x:c r="B12" s="4" t="str">
        <x:v>0xa3996b9977cdbf77c6f7717894d58a66a6789d9c</x:v>
      </x:c>
      <x:c r="C12" s="106" t="str">
        <x:f>'Candidates'!D55</x:f>
      </x:c>
      <x:c r="D12" s="106" t="str">
        <x:f>'Candidates'!E55</x:f>
        <x:v>SMART_CONTRACT</x:v>
      </x:c>
      <x:c r="E12" s="107" t="n">
        <x:f>'Candidates'!I55</x:f>
        <x:v>104.073564052835</x:v>
      </x:c>
      <x:c r="F12" s="107" t="n">
        <x:f>'Candidates'!K55</x:f>
        <x:v>104.073564052835</x:v>
      </x:c>
      <x:c r="G12" s="106" t="str">
        <x:f>'Candidates'!L55</x:f>
        <x:v>HOLD_CONTRACT_RECIPIENT_REVIEW</x:v>
      </x:c>
      <x:c r="H12" s="106" t="str">
        <x:f>'Candidates'!R55</x:f>
        <x:v>PENDING</x:v>
      </x:c>
      <x:c r="I12" s="106" t="str">
        <x:f>'Candidates'!S55</x:f>
      </x:c>
      <x:c r="J12" s="106" t="str">
        <x:f>'Candidates'!T55</x:f>
        <x:v>Contract recipients require ownership, recovery and token-compatibility review.</x:v>
      </x:c>
    </x:row>
    <x:row r="13">
      <x:c r="A13" t="n">
        <x:f>'Candidates'!A58</x:f>
        <x:v>53</x:v>
      </x:c>
      <x:c r="B13" s="4" t="str">
        <x:v>0x6dd35292b41e2382ee1aadd535e286cbc3c8e22f</x:v>
      </x:c>
      <x:c r="C13" s="106" t="str">
        <x:f>'Candidates'!D58</x:f>
      </x:c>
      <x:c r="D13" s="106" t="str">
        <x:f>'Candidates'!E58</x:f>
        <x:v>EIP7702_DELEGATED_ACCOUNT</x:v>
      </x:c>
      <x:c r="E13" s="107" t="n">
        <x:f>'Candidates'!I58</x:f>
        <x:v>79.42472</x:v>
      </x:c>
      <x:c r="F13" s="107" t="n">
        <x:f>'Candidates'!K58</x:f>
        <x:v>79.42472</x:v>
      </x:c>
      <x:c r="G13" s="106" t="str">
        <x:f>'Candidates'!L58</x:f>
        <x:v>HOLD_ACCOUNT_CONTROL_REVIEW</x:v>
      </x:c>
      <x:c r="H13" s="106" t="str">
        <x:f>'Candidates'!R58</x:f>
        <x:v>PENDING</x:v>
      </x:c>
      <x:c r="I13" s="106" t="str">
        <x:f>'Candidates'!S58</x:f>
      </x:c>
      <x:c r="J13" s="106" t="str">
        <x:f>'Candidates'!T58</x:f>
        <x:v>23-byte delegated account code requires control and destination review before inclusion.</x:v>
      </x:c>
    </x:row>
    <x:row r="14">
      <x:c r="A14" t="n">
        <x:f>'Candidates'!A62</x:f>
        <x:v>57</x:v>
      </x:c>
      <x:c r="B14" s="4" t="str">
        <x:v>0x61f77deceb2e112911cc7e26bfe078f56cfc478d</x:v>
      </x:c>
      <x:c r="C14" s="106" t="str">
        <x:f>'Candidates'!D62</x:f>
        <x:v>ByBit Dep: 0x61f77DEcEb2e112911cC7E26Bfe078F56cfc478D</x:v>
      </x:c>
      <x:c r="D14" s="106" t="str">
        <x:f>'Candidates'!E62</x:f>
        <x:v>CUSTODIAL_EXCHANGE_DEPOSIT</x:v>
      </x:c>
      <x:c r="E14" s="107" t="n">
        <x:f>'Candidates'!I62</x:f>
        <x:v>53</x:v>
      </x:c>
      <x:c r="F14" s="107" t="n">
        <x:f>'Candidates'!K62</x:f>
        <x:v>53</x:v>
      </x:c>
      <x:c r="G14" s="106" t="str">
        <x:f>'Candidates'!L62</x:f>
        <x:v>HOLD_DESTINATION_PROOF_REQUIRED</x:v>
      </x:c>
      <x:c r="H14" s="106" t="str">
        <x:f>'Candidates'!R62</x:f>
        <x:v>PENDING</x:v>
      </x:c>
      <x:c r="I14" s="106" t="str">
        <x:f>'Candidates'!S62</x:f>
      </x:c>
      <x:c r="J14" s="106" t="str">
        <x:f>'Candidates'!T62</x:f>
        <x:v>Exchange deposit addresses must not receive V2 without a signed alternate-destination instruction and custody review.</x:v>
      </x:c>
    </x:row>
    <x:row r="15">
      <x:c r="A15" t="n">
        <x:f>'Candidates'!A70</x:f>
        <x:v>65</x:v>
      </x:c>
      <x:c r="B15" s="4" t="str">
        <x:v>0x473c255acce8a8c9547c0dec063395d9a33e0162</x:v>
      </x:c>
      <x:c r="C15" s="106" t="str">
        <x:f>'Candidates'!D70</x:f>
        <x:v>Binance Dep: 0x473c255acCE8A8C9547c0DeC063395d9a33E0162</x:v>
      </x:c>
      <x:c r="D15" s="106" t="str">
        <x:f>'Candidates'!E70</x:f>
        <x:v>CUSTODIAL_EXCHANGE_DEPOSIT</x:v>
      </x:c>
      <x:c r="E15" s="107" t="n">
        <x:f>'Candidates'!I70</x:f>
        <x:v>28.45268</x:v>
      </x:c>
      <x:c r="F15" s="107" t="n">
        <x:f>'Candidates'!K70</x:f>
        <x:v>28.45268</x:v>
      </x:c>
      <x:c r="G15" s="106" t="str">
        <x:f>'Candidates'!L70</x:f>
        <x:v>HOLD_DESTINATION_PROOF_REQUIRED</x:v>
      </x:c>
      <x:c r="H15" s="106" t="str">
        <x:f>'Candidates'!R70</x:f>
        <x:v>PENDING</x:v>
      </x:c>
      <x:c r="I15" s="106" t="str">
        <x:f>'Candidates'!S70</x:f>
      </x:c>
      <x:c r="J15" s="106" t="str">
        <x:f>'Candidates'!T70</x:f>
        <x:v>Exchange deposit addresses must not receive V2 without a signed alternate-destination instruction and custody review.</x:v>
      </x:c>
    </x:row>
    <x:row r="16">
      <x:c r="A16" t="n">
        <x:f>'Candidates'!A74</x:f>
        <x:v>69</x:v>
      </x:c>
      <x:c r="B16" s="4" t="str">
        <x:v>0x51f61291d4bbf9666b91cb68618a73b8f47024de</x:v>
      </x:c>
      <x:c r="C16" s="106" t="str">
        <x:f>'Candidates'!D74</x:f>
      </x:c>
      <x:c r="D16" s="106" t="str">
        <x:f>'Candidates'!E74</x:f>
        <x:v>EIP7702_DELEGATED_ACCOUNT</x:v>
      </x:c>
      <x:c r="E16" s="107" t="n">
        <x:f>'Candidates'!I74</x:f>
        <x:v>19.39611981</x:v>
      </x:c>
      <x:c r="F16" s="107" t="n">
        <x:f>'Candidates'!K74</x:f>
        <x:v>19.39611981</x:v>
      </x:c>
      <x:c r="G16" s="106" t="str">
        <x:f>'Candidates'!L74</x:f>
        <x:v>HOLD_ACCOUNT_CONTROL_REVIEW</x:v>
      </x:c>
      <x:c r="H16" s="106" t="str">
        <x:f>'Candidates'!R74</x:f>
        <x:v>PENDING</x:v>
      </x:c>
      <x:c r="I16" s="106" t="str">
        <x:f>'Candidates'!S74</x:f>
      </x:c>
      <x:c r="J16" s="106" t="str">
        <x:f>'Candidates'!T74</x:f>
        <x:v>23-byte delegated account code requires control and destination review before inclusion.</x:v>
      </x:c>
    </x:row>
    <x:row r="17">
      <x:c r="A17" t="n">
        <x:f>'Candidates'!A495</x:f>
        <x:v>490</x:v>
      </x:c>
      <x:c r="B17" s="4" t="str">
        <x:v>0x64b4b0c1537015b98c89566dc0fd24e0975b701f</x:v>
      </x:c>
      <x:c r="C17" s="106" t="str">
        <x:f>'Candidates'!D495</x:f>
      </x:c>
      <x:c r="D17" s="106" t="str">
        <x:f>'Candidates'!E495</x:f>
        <x:v>EIP7702_DELEGATED_ACCOUNT</x:v>
      </x:c>
      <x:c r="E17" s="107" t="n">
        <x:f>'Candidates'!I495</x:f>
        <x:v>0.199146808013</x:v>
      </x:c>
      <x:c r="F17" s="107" t="n">
        <x:f>'Candidates'!K495</x:f>
        <x:v>0.199146808013</x:v>
      </x:c>
      <x:c r="G17" s="106" t="str">
        <x:f>'Candidates'!L495</x:f>
        <x:v>HOLD_ACCOUNT_CONTROL_REVIEW</x:v>
      </x:c>
      <x:c r="H17" s="106" t="str">
        <x:f>'Candidates'!R495</x:f>
        <x:v>PENDING</x:v>
      </x:c>
      <x:c r="I17" s="106" t="str">
        <x:f>'Candidates'!S495</x:f>
      </x:c>
      <x:c r="J17" s="106" t="str">
        <x:f>'Candidates'!T495</x:f>
        <x:v>23-byte delegated account code requires control and destination review before inclusion.</x:v>
      </x:c>
    </x:row>
    <x:row r="18">
      <x:c r="A18" t="n">
        <x:f>'Candidates'!A496</x:f>
        <x:v>491</x:v>
      </x:c>
      <x:c r="B18" s="4" t="str">
        <x:v>0x5b85821d347872dd0421e14ec4714fe6c3639ede</x:v>
      </x:c>
      <x:c r="C18" s="106" t="str">
        <x:f>'Candidates'!D496</x:f>
      </x:c>
      <x:c r="D18" s="106" t="str">
        <x:f>'Candidates'!E496</x:f>
        <x:v>EIP7702_DELEGATED_ACCOUNT</x:v>
      </x:c>
      <x:c r="E18" s="107" t="n">
        <x:f>'Candidates'!I496</x:f>
        <x:v>0.121450760135</x:v>
      </x:c>
      <x:c r="F18" s="107" t="n">
        <x:f>'Candidates'!K496</x:f>
        <x:v>0.121450760135</x:v>
      </x:c>
      <x:c r="G18" s="106" t="str">
        <x:f>'Candidates'!L496</x:f>
        <x:v>HOLD_ACCOUNT_CONTROL_REVIEW</x:v>
      </x:c>
      <x:c r="H18" s="106" t="str">
        <x:f>'Candidates'!R496</x:f>
        <x:v>PENDING</x:v>
      </x:c>
      <x:c r="I18" s="106" t="str">
        <x:f>'Candidates'!S496</x:f>
      </x:c>
      <x:c r="J18" s="106" t="str">
        <x:f>'Candidates'!T496</x:f>
        <x:v>23-byte delegated account code requires control and destination review before inclusion.</x:v>
      </x:c>
    </x:row>
    <x:row r="19">
      <x:c r="A19" t="n">
        <x:f>'Candidates'!A497</x:f>
        <x:v>492</x:v>
      </x:c>
      <x:c r="B19" s="4" t="str">
        <x:v>0xc059ffbc18a83a917898b64f3819b1c72fb16cb4</x:v>
      </x:c>
      <x:c r="C19" s="106" t="str">
        <x:f>'Candidates'!D497</x:f>
      </x:c>
      <x:c r="D19" s="106" t="str">
        <x:f>'Candidates'!E497</x:f>
        <x:v>EIP7702_DELEGATED_ACCOUNT</x:v>
      </x:c>
      <x:c r="E19" s="107" t="n">
        <x:f>'Candidates'!I497</x:f>
        <x:v>0.067425190236</x:v>
      </x:c>
      <x:c r="F19" s="107" t="n">
        <x:f>'Candidates'!K497</x:f>
        <x:v>0.067425190236</x:v>
      </x:c>
      <x:c r="G19" s="106" t="str">
        <x:f>'Candidates'!L497</x:f>
        <x:v>HOLD_ACCOUNT_CONTROL_REVIEW</x:v>
      </x:c>
      <x:c r="H19" s="106" t="str">
        <x:f>'Candidates'!R497</x:f>
        <x:v>PENDING</x:v>
      </x:c>
      <x:c r="I19" s="106" t="str">
        <x:f>'Candidates'!S497</x:f>
      </x:c>
      <x:c r="J19" s="106" t="str">
        <x:f>'Candidates'!T497</x:f>
        <x:v>23-byte delegated account code requires control and destination review before inclusion.</x:v>
      </x:c>
    </x:row>
    <x:row r="20">
      <x:c r="A20" t="n">
        <x:f>'Candidates'!A500</x:f>
        <x:v>495</x:v>
      </x:c>
      <x:c r="B20" s="4" t="str">
        <x:v>0x4f82e73edb06d29ff62c91ec8f5ff06571bdeb29</x:v>
      </x:c>
      <x:c r="C20" s="106" t="str">
        <x:f>'Candidates'!D500</x:f>
      </x:c>
      <x:c r="D20" s="106" t="str">
        <x:f>'Candidates'!E500</x:f>
        <x:v>EIP7702_DELEGATED_ACCOUNT</x:v>
      </x:c>
      <x:c r="E20" s="107" t="n">
        <x:f>'Candidates'!I500</x:f>
        <x:v>0.029189745675</x:v>
      </x:c>
      <x:c r="F20" s="107" t="n">
        <x:f>'Candidates'!K500</x:f>
        <x:v>0.029189745675</x:v>
      </x:c>
      <x:c r="G20" s="106" t="str">
        <x:f>'Candidates'!L500</x:f>
        <x:v>HOLD_ACCOUNT_CONTROL_REVIEW</x:v>
      </x:c>
      <x:c r="H20" s="106" t="str">
        <x:f>'Candidates'!R500</x:f>
        <x:v>PENDING</x:v>
      </x:c>
      <x:c r="I20" s="106" t="str">
        <x:f>'Candidates'!S500</x:f>
      </x:c>
      <x:c r="J20" s="106" t="str">
        <x:f>'Candidates'!T500</x:f>
        <x:v>23-byte delegated account code requires control and destination review before inclusion.</x:v>
      </x:c>
    </x:row>
    <x:row r="21">
      <x:c r="A21" t="n">
        <x:f>'Candidates'!A502</x:f>
        <x:v>497</x:v>
      </x:c>
      <x:c r="B21" s="4" t="str">
        <x:v>0x8f10b468b06c6fd214b65f87778827f7d113f996</x:v>
      </x:c>
      <x:c r="C21" s="106" t="n">
        <x:f>'Candidates'!D502</x:f>
        <x:v>0</x:v>
      </x:c>
      <x:c r="D21" s="106" t="str">
        <x:f>'Candidates'!E502</x:f>
        <x:v>SMART_CONTRACT</x:v>
      </x:c>
      <x:c r="E21" s="107" t="n">
        <x:f>'Candidates'!I502</x:f>
        <x:v>1e-12</x:v>
      </x:c>
      <x:c r="F21" s="107" t="n">
        <x:f>'Candidates'!K502</x:f>
        <x:v>1e-12</x:v>
      </x:c>
      <x:c r="G21" s="106" t="str">
        <x:f>'Candidates'!L502</x:f>
        <x:v>HOLD_CONTRACT_RECIPIENT_REVIEW</x:v>
      </x:c>
      <x:c r="H21" s="106" t="str">
        <x:f>'Candidates'!R502</x:f>
        <x:v>PENDING</x:v>
      </x:c>
      <x:c r="I21" s="106" t="n">
        <x:f>'Candidates'!S502</x:f>
        <x:v>0</x:v>
      </x:c>
      <x:c r="J21" s="106" t="str">
        <x:f>'Candidates'!T502</x:f>
        <x:v>Contract recipients require ownership, recovery and token-compatibility review.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9e444d4427d43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20" hidden="0" customWidth="1"/>
    <x:col min="5" max="5" width="15" hidden="0" customWidth="1"/>
    <x:col min="6" max="6" width="34" hidden="0" customWidth="1"/>
  </x:cols>
  <x:sheetData>
    <x:row r="1" ht="34" customHeight="1">
      <x:c r="A1" s="3" t="str">
        <x:v>Eligibility Threshold Scenarios — Ordinary EOAs Only</x:v>
      </x:c>
      <x:c r="B1" s="3"/>
      <x:c r="C1" s="3"/>
      <x:c r="D1" s="3"/>
      <x:c r="E1" s="3"/>
      <x:c r="F1" s="3"/>
    </x:row>
    <x:row r="3" ht="32" customHeight="1">
      <x:c r="A3" s="80" t="str">
        <x:v>Minimum V1 BINI</x:v>
      </x:c>
      <x:c r="B3" s="81" t="str">
        <x:v>Recipients</x:v>
      </x:c>
      <x:c r="C3" s="81" t="str">
        <x:v>V1 Amount</x:v>
      </x:c>
      <x:c r="D3" s="81" t="str">
        <x:v>V2 Amount</x:v>
      </x:c>
      <x:c r="E3" s="81" t="str">
        <x:v>Batches @20</x:v>
      </x:c>
      <x:c r="F3" s="82" t="str">
        <x:v>Policy</x:v>
      </x:c>
    </x:row>
    <x:row r="4">
      <x:c r="A4" s="12" t="n">
        <x:v>1000</x:v>
      </x:c>
      <x:c r="B4" s="12" t="n">
        <x:f>COUNTIFS('Candidates'!$E$6:$E$502,"EOA_CANDIDATE",'Candidates'!$I$6:$I$502,"&gt;="&amp;A4)</x:f>
        <x:v>26</x:v>
      </x:c>
      <x:c r="C4" s="111" t="n">
        <x:f>SUMIFS('Candidates'!$I$6:$I$502,'Candidates'!$E$6:$E$502,"EOA_CANDIDATE",'Candidates'!$I$6:$I$502,"&gt;="&amp;A4)</x:f>
        <x:v>10770323.813620009</x:v>
      </x:c>
      <x:c r="D4" s="111" t="n">
        <x:f>SUMIFS('Candidates'!$K$6:$K$502,'Candidates'!$E$6:$E$502,"EOA_CANDIDATE",'Candidates'!$I$6:$I$502,"&gt;="&amp;A4)</x:f>
        <x:v>10770323.813620009</x:v>
      </x:c>
      <x:c r="E4" s="11" t="n">
        <x:f>ROUNDUP(B4/'Decision Summary'!$B$12,0)</x:f>
        <x:v>2</x:v>
      </x:c>
      <x:c r="F4" s="11" t="str">
        <x:v>Current draft — NOT APPROVED</x:v>
      </x:c>
    </x:row>
    <x:row r="5">
      <x:c r="A5" s="108" t="n">
        <x:v>100</x:v>
      </x:c>
      <x:c r="B5" s="108" t="n">
        <x:f>COUNTIFS('Candidates'!$E$6:$E$502,"EOA_CANDIDATE",'Candidates'!$I$6:$I$502,"&gt;="&amp;A5)</x:f>
        <x:v>42</x:v>
      </x:c>
      <x:c r="C5" s="84" t="n">
        <x:f>SUMIFS('Candidates'!$I$6:$I$502,'Candidates'!$E$6:$E$502,"EOA_CANDIDATE",'Candidates'!$I$6:$I$502,"&gt;="&amp;A5)</x:f>
        <x:v>10774586.882829277</x:v>
      </x:c>
      <x:c r="D5" s="84" t="n">
        <x:f>SUMIFS('Candidates'!$K$6:$K$502,'Candidates'!$E$6:$E$502,"EOA_CANDIDATE",'Candidates'!$I$6:$I$502,"&gt;="&amp;A5)</x:f>
        <x:v>10774586.882829277</x:v>
      </x:c>
      <x:c r="E5" t="n">
        <x:f>ROUNDUP(B5/'Decision Summary'!$B$12,0)</x:f>
        <x:v>3</x:v>
      </x:c>
      <x:c r="F5" t="str">
        <x:v>Alternative for owner review</x:v>
      </x:c>
    </x:row>
    <x:row r="6">
      <x:c r="A6" s="108" t="n">
        <x:v>10</x:v>
      </x:c>
      <x:c r="B6" s="108" t="n">
        <x:f>COUNTIFS('Candidates'!$E$6:$E$502,"EOA_CANDIDATE",'Candidates'!$I$6:$I$502,"&gt;="&amp;A6)</x:f>
        <x:v>66</x:v>
      </x:c>
      <x:c r="C6" s="84" t="n">
        <x:f>SUMIFS('Candidates'!$I$6:$I$502,'Candidates'!$E$6:$E$502,"EOA_CANDIDATE",'Candidates'!$I$6:$I$502,"&gt;="&amp;A6)</x:f>
        <x:v>10775395.578938244</x:v>
      </x:c>
      <x:c r="D6" s="84" t="n">
        <x:f>SUMIFS('Candidates'!$K$6:$K$502,'Candidates'!$E$6:$E$502,"EOA_CANDIDATE",'Candidates'!$I$6:$I$502,"&gt;="&amp;A6)</x:f>
        <x:v>10775395.578938244</x:v>
      </x:c>
      <x:c r="E6" t="n">
        <x:f>ROUNDUP(B6/'Decision Summary'!$B$12,0)</x:f>
        <x:v>4</x:v>
      </x:c>
      <x:c r="F6" t="str">
        <x:v>Alternative for owner review</x:v>
      </x:c>
    </x:row>
    <x:row r="7">
      <x:c r="A7" s="108" t="n">
        <x:v>1</x:v>
      </x:c>
      <x:c r="B7" s="108" t="n">
        <x:f>COUNTIFS('Candidates'!$E$6:$E$502,"EOA_CANDIDATE",'Candidates'!$I$6:$I$502,"&gt;="&amp;A7)</x:f>
        <x:v>476</x:v>
      </x:c>
      <x:c r="C7" s="84" t="n">
        <x:f>SUMIFS('Candidates'!$I$6:$I$502,'Candidates'!$E$6:$E$502,"EOA_CANDIDATE",'Candidates'!$I$6:$I$502,"&gt;="&amp;A7)</x:f>
        <x:v>10778069.438607171</x:v>
      </x:c>
      <x:c r="D7" s="84" t="n">
        <x:f>SUMIFS('Candidates'!$K$6:$K$502,'Candidates'!$E$6:$E$502,"EOA_CANDIDATE",'Candidates'!$I$6:$I$502,"&gt;="&amp;A7)</x:f>
        <x:v>10778069.438607171</x:v>
      </x:c>
      <x:c r="E7" t="n">
        <x:f>ROUNDUP(B7/'Decision Summary'!$B$12,0)</x:f>
        <x:v>24</x:v>
      </x:c>
      <x:c r="F7" t="str">
        <x:v>Alternative for owner review</x:v>
      </x:c>
    </x:row>
    <x:row r="8">
      <x:c r="A8" s="108" t="n">
        <x:v>0</x:v>
      </x:c>
      <x:c r="B8" s="108" t="n">
        <x:f>COUNTIFS('Candidates'!$E$6:$E$502,"EOA_CANDIDATE",'Candidates'!$I$6:$I$502,"&gt;="&amp;A8)</x:f>
        <x:v>480</x:v>
      </x:c>
      <x:c r="C8" s="84" t="n">
        <x:f>SUMIFS('Candidates'!$I$6:$I$502,'Candidates'!$E$6:$E$502,"EOA_CANDIDATE",'Candidates'!$I$6:$I$502,"&gt;="&amp;A8)</x:f>
        <x:v>10778070.305310614</x:v>
      </x:c>
      <x:c r="D8" s="84" t="n">
        <x:f>SUMIFS('Candidates'!$K$6:$K$502,'Candidates'!$E$6:$E$502,"EOA_CANDIDATE",'Candidates'!$I$6:$I$502,"&gt;="&amp;A8)</x:f>
        <x:v>10778070.305310614</x:v>
      </x:c>
      <x:c r="E8" t="n">
        <x:f>ROUNDUP(B8/'Decision Summary'!$B$12,0)</x:f>
        <x:v>24</x:v>
      </x:c>
      <x:c r="F8" t="str">
        <x:v>Alternative for owner review</x:v>
      </x:c>
    </x:row>
    <x:row r="10">
      <x:c r="A10" s="112" t="str">
        <x:v>Interpretation</x:v>
      </x:c>
      <x:c r="B10" s="113"/>
      <x:c r="C10" s="113"/>
      <x:c r="D10" s="113"/>
      <x:c r="E10" s="113"/>
      <x:c r="F10" s="38"/>
    </x:row>
    <x:row r="11">
      <x:c r="A11" s="114" t="str">
        <x:v>The supplied top table ends at rank 32 / exactly 1,000 BINI, so 1,000 is shown as a draft scenario rather than an approved cutoff.</x:v>
      </x:c>
      <x:c r="B11" s="114"/>
      <x:c r="C11" s="114"/>
      <x:c r="D11" s="114"/>
      <x:c r="E11" s="114"/>
      <x:c r="F11" s="114"/>
    </x:row>
    <x:row r="12">
      <x:c r="A12" s="114" t="str">
        <x:v>No threshold may silently remove a holder from frozen eligibility; owner/legal/tokenomics approval is required.</x:v>
      </x:c>
      <x:c r="B12" s="114"/>
      <x:c r="C12" s="114"/>
      <x:c r="D12" s="114"/>
      <x:c r="E12" s="114"/>
      <x:c r="F12" s="114"/>
    </x:row>
    <x:row r="13">
      <x:c r="A13" s="114" t="str">
        <x:v>Special-address holds are excluded from every scenario until separately resolved.</x:v>
      </x:c>
      <x:c r="B13" s="114"/>
      <x:c r="C13" s="114"/>
      <x:c r="D13" s="114"/>
      <x:c r="E13" s="114"/>
      <x:c r="F13" s="114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  <x:tableParts count="1">
    <x:tablePart xmlns:r="http://schemas.openxmlformats.org/officeDocument/2006/relationships" r:id="R19965ebc236543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2" hidden="0" customWidth="1"/>
    <x:col min="5" max="5" width="54" hidden="0" customWidth="1"/>
  </x:cols>
  <x:sheetData>
    <x:row r="1" ht="34" customHeight="1">
      <x:c r="A1" s="3" t="str">
        <x:v>Quality Control — Snapshot and Draft Plan</x:v>
      </x:c>
      <x:c r="B1" s="3"/>
      <x:c r="C1" s="3"/>
      <x:c r="D1" s="3"/>
      <x:c r="E1" s="3"/>
    </x:row>
    <x:row r="3" ht="32" customHeight="1">
      <x:c r="A3" s="80" t="str">
        <x:v>Check</x:v>
      </x:c>
      <x:c r="B3" s="81" t="str">
        <x:v>Actual</x:v>
      </x:c>
      <x:c r="C3" s="81" t="str">
        <x:v>Expected</x:v>
      </x:c>
      <x:c r="D3" s="81" t="str">
        <x:v>Status</x:v>
      </x:c>
      <x:c r="E3" s="82" t="str">
        <x:v>Notes</x:v>
      </x:c>
    </x:row>
    <x:row r="4">
      <x:c r="A4" t="str">
        <x:v>Holder count</x:v>
      </x:c>
      <x:c r="B4" s="84" t="n">
        <x:f>COUNTA('Candidates'!$A$6:$A$502)</x:f>
        <x:v>497</x:v>
      </x:c>
      <x:c r="C4" s="84" t="n">
        <x:v>497</x:v>
      </x:c>
      <x:c r="D4" t="str">
        <x:f>IF(B4=C4,"PASS","FAIL")</x:f>
        <x:v>PASS</x:v>
      </x:c>
      <x:c r="E4" t="str">
        <x:v>Exact snapshot population</x:v>
      </x:c>
    </x:row>
    <x:row r="5">
      <x:c r="A5" t="str">
        <x:v>Displayed V1 amount sum</x:v>
      </x:c>
      <x:c r="B5" s="84" t="n">
        <x:f>ROUND(SUM('Candidates'!$I$6:$I$502),6)</x:f>
        <x:v>1000000000.000001</x:v>
      </x:c>
      <x:c r="C5" s="84" t="n">
        <x:v>1000000000</x:v>
      </x:c>
      <x:c r="D5" t="str">
        <x:f>IF(B5=C5,"PASS","FAIL")</x:f>
        <x:v>PASS</x:v>
      </x:c>
      <x:c r="E5" t="str">
        <x:v>Raw JSON is authoritative; displayed numbers are checked to 6 decimals</x:v>
      </x:c>
    </x:row>
    <x:row r="6">
      <x:c r="A6" t="str">
        <x:v>Duplicate addresses</x:v>
      </x:c>
      <x:c r="B6" s="84" t="n">
        <x:f>COUNTIF('Candidates'!$V$6:$V$502,TRUE)</x:f>
        <x:v>0</x:v>
      </x:c>
      <x:c r="C6" s="84" t="n">
        <x:v>0</x:v>
      </x:c>
      <x:c r="D6" t="str">
        <x:f>IF(B6=C6,"PASS","FAIL")</x:f>
        <x:v>PASS</x:v>
      </x:c>
      <x:c r="E6" t="str">
        <x:v>Must remain zero</x:v>
      </x:c>
    </x:row>
    <x:row r="7">
      <x:c r="A7" t="str">
        <x:v>Draft recipient count</x:v>
      </x:c>
      <x:c r="B7" s="84" t="n">
        <x:f>COUNTA('Draft Batches'!$D$5:$D$30)</x:f>
        <x:v>26</x:v>
      </x:c>
      <x:c r="C7" s="84" t="n">
        <x:v>26</x:v>
      </x:c>
      <x:c r="D7" t="str">
        <x:f>IF(B7=C7,"PASS","FAIL")</x:f>
        <x:v>PASS</x:v>
      </x:c>
      <x:c r="E7" t="str">
        <x:v>Default ≥1,000 BINI scenario</x:v>
      </x:c>
    </x:row>
    <x:row r="8">
      <x:c r="A8" t="str">
        <x:v>Draft total V1 (6d)</x:v>
      </x:c>
      <x:c r="B8" s="84" t="n">
        <x:f>ROUND(SUM('Draft Batches'!$E$5:$E$30),6)</x:f>
        <x:v>10770323.81362</x:v>
      </x:c>
      <x:c r="C8" s="84" t="n">
        <x:v>10770323.81362</x:v>
      </x:c>
      <x:c r="D8" t="str">
        <x:f>IF(B8=C8,"PASS","FAIL")</x:f>
        <x:v>PASS</x:v>
      </x:c>
      <x:c r="E8" t="str">
        <x:v>Exact raw total is in the source JSON</x:v>
      </x:c>
    </x:row>
    <x:row r="9">
      <x:c r="A9" t="str">
        <x:v>PoolManager draft recipients</x:v>
      </x:c>
      <x:c r="B9" s="84" t="n">
        <x:f>COUNTIF('Draft Batches'!$D$5:$D$30,"0x000000000004444c5dc75cb358380d2e3de08a90")</x:f>
        <x:v>0</x:v>
      </x:c>
      <x:c r="C9" s="84" t="n">
        <x:v>0</x:v>
      </x:c>
      <x:c r="D9" t="str">
        <x:f>IF(B9=C9,"PASS","FAIL")</x:f>
        <x:v>PASS</x:v>
      </x:c>
      <x:c r="E9" t="str">
        <x:v>DEX infrastructure must be excluded</x:v>
      </x:c>
    </x:row>
    <x:row r="10">
      <x:c r="A10" t="str">
        <x:v>Top-five draft recipients</x:v>
      </x:c>
      <x:c r="B10" s="84" t="n">
        <x:f>COUNTIF('Draft Batches'!$C$5:$C$30,"&lt;=5")</x:f>
        <x:v>0</x:v>
      </x:c>
      <x:c r="C10" s="84" t="n">
        <x:v>0</x:v>
      </x:c>
      <x:c r="D10" t="str">
        <x:f>IF(B10=C10,"PASS","FAIL")</x:f>
        <x:v>PASS</x:v>
      </x:c>
      <x:c r="E10" t="str">
        <x:v>Requires owner classification</x:v>
      </x:c>
    </x:row>
    <x:row r="11">
      <x:c r="A11" t="str">
        <x:v>Contract/delegated draft recipients</x:v>
      </x:c>
      <x:c r="B11" s="84" t="n">
        <x:f>COUNTIF('Draft Batches'!$D$5:$D$30,"0x8f10b468b06c6fd214b65f87778827f7d113f996")</x:f>
        <x:v>0</x:v>
      </x:c>
      <x:c r="C11" s="84" t="n">
        <x:v>0</x:v>
      </x:c>
      <x:c r="D11" t="str">
        <x:f>IF(B11=C11,"PASS","FAIL")</x:f>
        <x:v>PASS</x:v>
      </x:c>
      <x:c r="E11" t="str">
        <x:v>Requires account-control review</x:v>
      </x:c>
    </x:row>
    <x:row r="12">
      <x:c r="A12" t="str">
        <x:v>Maximum default batch size</x:v>
      </x:c>
      <x:c r="B12" s="84" t="n">
        <x:f>MAX(COUNTIF('Draft Batches'!$A$5:$A$30,1),COUNTIF('Draft Batches'!$A$5:$A$30,2))</x:f>
        <x:v>20</x:v>
      </x:c>
      <x:c r="C12" s="84" t="n">
        <x:v>20</x:v>
      </x:c>
      <x:c r="D12" t="str">
        <x:f>IF(B12=C12,"PASS","FAIL")</x:f>
        <x:v>PASS</x:v>
      </x:c>
      <x:c r="E12" t="str">
        <x:v>Operational limit</x:v>
      </x:c>
    </x:row>
    <x:row r="15">
      <x:c r="A15" s="5" t="str">
        <x:v>Source snapshot SHA-256</x:v>
      </x:c>
      <x:c r="B15" s="115" t="str">
        <x:v>sha256:f5ea5f0b44c38f7e9d154804f32f3c9182aa9db80b65caa73652dc55b8689c98</x:v>
      </x:c>
    </x:row>
    <x:row r="16">
      <x:c r="A16" s="5" t="str">
        <x:v>Candidate JSON</x:v>
      </x:c>
      <x:c r="B16" s="115" t="str">
        <x:v>/Users/yuragus/Documents/GitLab/Binibit-cex-api/bini-token-v2/data/bini-v2-direct-distribution-candidates-25680981.json</x:v>
      </x:c>
    </x:row>
    <x:row r="17">
      <x:c r="A17" s="5" t="str">
        <x:v>V1 contract</x:v>
      </x:c>
      <x:c r="B17" s="115" t="str">
        <x:v>0x445d03f499f1c150615957bb87588fb465fc91cc</x:v>
      </x:c>
    </x:row>
    <x:row r="18">
      <x:c r="A18" s="5" t="str">
        <x:v>Snapshot block hash</x:v>
      </x:c>
      <x:c r="B18" s="115" t="str">
        <x:v>0x962176abacf23d24fbbaacfb7d1e28570685ccbfd7f90a061af97b2fde77af78</x:v>
      </x:c>
    </x:row>
    <x:row r="19">
      <x:c r="A19" s="5" t="str">
        <x:v>Workbook status</x:v>
      </x:c>
      <x:c r="B19" s="115" t="str">
        <x:v>OWNER REVIEW DRAFT — NOT EXECUTABLE</x:v>
      </x:c>
    </x:row>
  </x:sheetData>
  <x:mergeCells>
    <x:mergeCell ref="A1:E1"/>
  </x:mergeCells>
  <x:conditionalFormatting sqref="D4:D12">
    <x:cfRule type="expression" dxfId="3" priority="1">
      <x:formula>$D4="PASS"</x:formula>
    </x:cfRule>
    <x:cfRule type="expression" dxfId="4" priority="2">
      <x:formula>$D4="FAIL"</x:formula>
    </x:cfRule>
  </x:conditionalFormatting>
  <x:pageMargins left="0.7" right="0.7" top="0.75" bottom="0.75" header="0.3" footer="0.3"/>
</x:worksheet>
</file>